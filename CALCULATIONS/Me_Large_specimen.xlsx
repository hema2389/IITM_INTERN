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SSN-Institute\"/>
    </mc:Choice>
  </mc:AlternateContent>
  <xr:revisionPtr revIDLastSave="0" documentId="13_ncr:1_{585978E0-A26D-45EE-B5F9-5944F204D658}" xr6:coauthVersionLast="47" xr6:coauthVersionMax="47" xr10:uidLastSave="{00000000-0000-0000-0000-000000000000}"/>
  <bookViews>
    <workbookView xWindow="-120" yWindow="-120" windowWidth="20730" windowHeight="11040" activeTab="1" xr2:uid="{5EB4AC07-93D6-497F-B444-79B73C9C207E}"/>
  </bookViews>
  <sheets>
    <sheet name="MANUAL CALCULATION" sheetId="1" r:id="rId1"/>
    <sheet name="0.3" sheetId="2" r:id="rId2"/>
    <sheet name="0.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6" i="1" l="1"/>
  <c r="S7" i="1"/>
  <c r="L7" i="1" s="1"/>
  <c r="S8" i="1"/>
  <c r="S9" i="1"/>
  <c r="S10" i="1"/>
  <c r="S11" i="1"/>
  <c r="L11" i="1" s="1"/>
  <c r="S12" i="1"/>
  <c r="S13" i="1"/>
  <c r="L13" i="1" s="1"/>
  <c r="S14" i="1"/>
  <c r="S15" i="1"/>
  <c r="L15" i="1" s="1"/>
  <c r="S16" i="1"/>
  <c r="S17" i="1"/>
  <c r="S18" i="1"/>
  <c r="S19" i="1"/>
  <c r="S20" i="1"/>
  <c r="S21" i="1"/>
  <c r="L21" i="1" s="1"/>
  <c r="S22" i="1"/>
  <c r="S23" i="1"/>
  <c r="L23" i="1" s="1"/>
  <c r="S24" i="1"/>
  <c r="S25" i="1"/>
  <c r="S26" i="1"/>
  <c r="S27" i="1"/>
  <c r="S28" i="1"/>
  <c r="S29" i="1"/>
  <c r="L29" i="1" s="1"/>
  <c r="S30" i="1"/>
  <c r="S31" i="1"/>
  <c r="L31" i="1" s="1"/>
  <c r="S32" i="1"/>
  <c r="S33" i="1"/>
  <c r="S34" i="1"/>
  <c r="S35" i="1"/>
  <c r="S36" i="1"/>
  <c r="S37" i="1"/>
  <c r="L37" i="1" s="1"/>
  <c r="S38" i="1"/>
  <c r="S39" i="1"/>
  <c r="L39" i="1" s="1"/>
  <c r="S40" i="1"/>
  <c r="S41" i="1"/>
  <c r="S42" i="1"/>
  <c r="S43" i="1"/>
  <c r="S44" i="1"/>
  <c r="S45" i="1"/>
  <c r="L45" i="1" s="1"/>
  <c r="S46" i="1"/>
  <c r="S47" i="1"/>
  <c r="L47" i="1" s="1"/>
  <c r="S48" i="1"/>
  <c r="S49" i="1"/>
  <c r="S50" i="1"/>
  <c r="S51" i="1"/>
  <c r="S52" i="1"/>
  <c r="S53" i="1"/>
  <c r="L53" i="1" s="1"/>
  <c r="S54" i="1"/>
  <c r="S55" i="1"/>
  <c r="L55" i="1" s="1"/>
  <c r="S56" i="1"/>
  <c r="S57" i="1"/>
  <c r="S58" i="1"/>
  <c r="S59" i="1"/>
  <c r="S60" i="1"/>
  <c r="S61" i="1"/>
  <c r="L61" i="1" s="1"/>
  <c r="S62" i="1"/>
  <c r="S63" i="1"/>
  <c r="L63" i="1" s="1"/>
  <c r="S64" i="1"/>
  <c r="S65" i="1"/>
  <c r="S66" i="1"/>
  <c r="S67" i="1"/>
  <c r="S68" i="1"/>
  <c r="S69" i="1"/>
  <c r="L69" i="1" s="1"/>
  <c r="S70" i="1"/>
  <c r="S71" i="1"/>
  <c r="L71" i="1" s="1"/>
  <c r="S72" i="1"/>
  <c r="S73" i="1"/>
  <c r="S74" i="1"/>
  <c r="S75" i="1"/>
  <c r="S76" i="1"/>
  <c r="S77" i="1"/>
  <c r="L77" i="1" s="1"/>
  <c r="S78" i="1"/>
  <c r="S79" i="1"/>
  <c r="L79" i="1" s="1"/>
  <c r="S80" i="1"/>
  <c r="S81" i="1"/>
  <c r="S82" i="1"/>
  <c r="S83" i="1"/>
  <c r="L83" i="1" s="1"/>
  <c r="L6" i="1"/>
  <c r="L8" i="1"/>
  <c r="L9" i="1"/>
  <c r="L10" i="1"/>
  <c r="L12" i="1"/>
  <c r="L14" i="1"/>
  <c r="L16" i="1"/>
  <c r="L17" i="1"/>
  <c r="L18" i="1"/>
  <c r="L19" i="1"/>
  <c r="L20" i="1"/>
  <c r="L22" i="1"/>
  <c r="L24" i="1"/>
  <c r="L25" i="1"/>
  <c r="L26" i="1"/>
  <c r="L27" i="1"/>
  <c r="L28" i="1"/>
  <c r="L30" i="1"/>
  <c r="L32" i="1"/>
  <c r="L33" i="1"/>
  <c r="L34" i="1"/>
  <c r="L35" i="1"/>
  <c r="L36" i="1"/>
  <c r="L38" i="1"/>
  <c r="L40" i="1"/>
  <c r="L41" i="1"/>
  <c r="L42" i="1"/>
  <c r="L43" i="1"/>
  <c r="L44" i="1"/>
  <c r="L46" i="1"/>
  <c r="L48" i="1"/>
  <c r="L49" i="1"/>
  <c r="L50" i="1"/>
  <c r="L51" i="1"/>
  <c r="L52" i="1"/>
  <c r="L54" i="1"/>
  <c r="L56" i="1"/>
  <c r="L57" i="1"/>
  <c r="L58" i="1"/>
  <c r="L59" i="1"/>
  <c r="L60" i="1"/>
  <c r="L62" i="1"/>
  <c r="L64" i="1"/>
  <c r="L65" i="1"/>
  <c r="L66" i="1"/>
  <c r="L67" i="1"/>
  <c r="L68" i="1"/>
  <c r="L70" i="1"/>
  <c r="L72" i="1"/>
  <c r="L73" i="1"/>
  <c r="L74" i="1"/>
  <c r="L75" i="1"/>
  <c r="L76" i="1"/>
  <c r="L78" i="1"/>
  <c r="L80" i="1"/>
  <c r="L81" i="1"/>
  <c r="L82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E83" i="1"/>
  <c r="F83" i="1"/>
  <c r="G83" i="1"/>
  <c r="H83" i="1"/>
  <c r="I83" i="1"/>
  <c r="J83" i="1"/>
  <c r="E10" i="3"/>
  <c r="F10" i="3"/>
  <c r="G10" i="3"/>
  <c r="K10" i="3" s="1"/>
  <c r="H10" i="3"/>
  <c r="I10" i="3"/>
  <c r="J10" i="3"/>
  <c r="O10" i="3"/>
  <c r="R10" i="3"/>
  <c r="S10" i="3"/>
  <c r="R6" i="3"/>
  <c r="R7" i="3"/>
  <c r="R8" i="3"/>
  <c r="R9" i="3"/>
  <c r="S6" i="3"/>
  <c r="S7" i="3"/>
  <c r="S8" i="3"/>
  <c r="S9" i="3"/>
  <c r="S5" i="3"/>
  <c r="R5" i="3"/>
  <c r="J6" i="3"/>
  <c r="J7" i="3"/>
  <c r="J8" i="3"/>
  <c r="J9" i="3"/>
  <c r="J5" i="3"/>
  <c r="I6" i="3"/>
  <c r="I7" i="3"/>
  <c r="I8" i="3"/>
  <c r="I9" i="3"/>
  <c r="I5" i="3"/>
  <c r="H6" i="3"/>
  <c r="L6" i="3" s="1"/>
  <c r="H7" i="3"/>
  <c r="H8" i="3"/>
  <c r="H9" i="3"/>
  <c r="L9" i="3" s="1"/>
  <c r="H5" i="3"/>
  <c r="G6" i="3"/>
  <c r="G7" i="3"/>
  <c r="G8" i="3"/>
  <c r="K8" i="3" s="1"/>
  <c r="G9" i="3"/>
  <c r="K9" i="3" s="1"/>
  <c r="G5" i="3"/>
  <c r="F6" i="3"/>
  <c r="F7" i="3"/>
  <c r="F8" i="3"/>
  <c r="F9" i="3"/>
  <c r="F5" i="3"/>
  <c r="E6" i="3"/>
  <c r="E7" i="3"/>
  <c r="E8" i="3"/>
  <c r="E9" i="3"/>
  <c r="E5" i="3"/>
  <c r="O9" i="3"/>
  <c r="O8" i="3"/>
  <c r="O7" i="3"/>
  <c r="O6" i="3"/>
  <c r="O5" i="3"/>
  <c r="E6" i="2"/>
  <c r="F6" i="2"/>
  <c r="G6" i="2"/>
  <c r="H6" i="2"/>
  <c r="I6" i="2"/>
  <c r="J6" i="2"/>
  <c r="O6" i="2"/>
  <c r="R6" i="2"/>
  <c r="S6" i="2"/>
  <c r="E7" i="2"/>
  <c r="F7" i="2"/>
  <c r="G7" i="2"/>
  <c r="H7" i="2"/>
  <c r="I7" i="2"/>
  <c r="J7" i="2"/>
  <c r="O7" i="2"/>
  <c r="R7" i="2"/>
  <c r="S7" i="2"/>
  <c r="E8" i="2"/>
  <c r="F8" i="2"/>
  <c r="G8" i="2"/>
  <c r="H8" i="2"/>
  <c r="I8" i="2"/>
  <c r="J8" i="2"/>
  <c r="O8" i="2"/>
  <c r="R8" i="2"/>
  <c r="S8" i="2"/>
  <c r="E9" i="2"/>
  <c r="F9" i="2"/>
  <c r="G9" i="2"/>
  <c r="H9" i="2"/>
  <c r="I9" i="2"/>
  <c r="J9" i="2"/>
  <c r="O9" i="2"/>
  <c r="R9" i="2"/>
  <c r="S9" i="2"/>
  <c r="O10" i="2"/>
  <c r="S10" i="2"/>
  <c r="R10" i="2"/>
  <c r="J10" i="2"/>
  <c r="I10" i="2"/>
  <c r="H10" i="2"/>
  <c r="G10" i="2"/>
  <c r="F10" i="2"/>
  <c r="E10" i="2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E71" i="1"/>
  <c r="F71" i="1"/>
  <c r="G71" i="1"/>
  <c r="K71" i="1" s="1"/>
  <c r="M71" i="1" s="1"/>
  <c r="H71" i="1"/>
  <c r="E72" i="1"/>
  <c r="F72" i="1"/>
  <c r="G72" i="1"/>
  <c r="H72" i="1"/>
  <c r="E73" i="1"/>
  <c r="F73" i="1"/>
  <c r="G73" i="1"/>
  <c r="H73" i="1"/>
  <c r="E74" i="1"/>
  <c r="F74" i="1"/>
  <c r="G74" i="1"/>
  <c r="K74" i="1" s="1"/>
  <c r="M74" i="1" s="1"/>
  <c r="H74" i="1"/>
  <c r="E75" i="1"/>
  <c r="F75" i="1"/>
  <c r="G75" i="1"/>
  <c r="H75" i="1"/>
  <c r="N75" i="1" s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N82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H58" i="1"/>
  <c r="N58" i="1" s="1"/>
  <c r="H59" i="1"/>
  <c r="H60" i="1"/>
  <c r="H61" i="1"/>
  <c r="H62" i="1"/>
  <c r="H63" i="1"/>
  <c r="H64" i="1"/>
  <c r="H65" i="1"/>
  <c r="H66" i="1"/>
  <c r="N66" i="1" s="1"/>
  <c r="H67" i="1"/>
  <c r="H68" i="1"/>
  <c r="H69" i="1"/>
  <c r="H70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G32" i="1"/>
  <c r="K32" i="1" s="1"/>
  <c r="M32" i="1" s="1"/>
  <c r="G33" i="1"/>
  <c r="G34" i="1"/>
  <c r="G35" i="1"/>
  <c r="G36" i="1"/>
  <c r="G37" i="1"/>
  <c r="G38" i="1"/>
  <c r="G39" i="1"/>
  <c r="G40" i="1"/>
  <c r="K40" i="1" s="1"/>
  <c r="M40" i="1" s="1"/>
  <c r="G41" i="1"/>
  <c r="G42" i="1"/>
  <c r="G43" i="1"/>
  <c r="G44" i="1"/>
  <c r="G45" i="1"/>
  <c r="G46" i="1"/>
  <c r="G47" i="1"/>
  <c r="G48" i="1"/>
  <c r="K48" i="1" s="1"/>
  <c r="M48" i="1" s="1"/>
  <c r="G49" i="1"/>
  <c r="G50" i="1"/>
  <c r="G51" i="1"/>
  <c r="G52" i="1"/>
  <c r="G53" i="1"/>
  <c r="G54" i="1"/>
  <c r="G55" i="1"/>
  <c r="G56" i="1"/>
  <c r="K56" i="1" s="1"/>
  <c r="M56" i="1" s="1"/>
  <c r="G57" i="1"/>
  <c r="H32" i="1"/>
  <c r="H33" i="1"/>
  <c r="N33" i="1" s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N49" i="1" s="1"/>
  <c r="H50" i="1"/>
  <c r="H51" i="1"/>
  <c r="H52" i="1"/>
  <c r="H53" i="1"/>
  <c r="H54" i="1"/>
  <c r="H55" i="1"/>
  <c r="H56" i="1"/>
  <c r="H57" i="1"/>
  <c r="N57" i="1" s="1"/>
  <c r="E28" i="1"/>
  <c r="E29" i="1"/>
  <c r="E30" i="1"/>
  <c r="E31" i="1"/>
  <c r="F28" i="1"/>
  <c r="F29" i="1"/>
  <c r="F30" i="1"/>
  <c r="F31" i="1"/>
  <c r="G28" i="1"/>
  <c r="G29" i="1"/>
  <c r="G30" i="1"/>
  <c r="G31" i="1"/>
  <c r="H28" i="1"/>
  <c r="H29" i="1"/>
  <c r="H30" i="1"/>
  <c r="H31" i="1"/>
  <c r="H27" i="1"/>
  <c r="H26" i="1"/>
  <c r="H25" i="1"/>
  <c r="H24" i="1"/>
  <c r="H23" i="1"/>
  <c r="H22" i="1"/>
  <c r="G27" i="1"/>
  <c r="G26" i="1"/>
  <c r="G25" i="1"/>
  <c r="G24" i="1"/>
  <c r="G23" i="1"/>
  <c r="G22" i="1"/>
  <c r="F27" i="1"/>
  <c r="F26" i="1"/>
  <c r="F25" i="1"/>
  <c r="F24" i="1"/>
  <c r="F23" i="1"/>
  <c r="F22" i="1"/>
  <c r="E27" i="1"/>
  <c r="E26" i="1"/>
  <c r="E25" i="1"/>
  <c r="E24" i="1"/>
  <c r="E23" i="1"/>
  <c r="E22" i="1"/>
  <c r="H21" i="1"/>
  <c r="G21" i="1"/>
  <c r="F21" i="1"/>
  <c r="E21" i="1"/>
  <c r="E15" i="1"/>
  <c r="E16" i="1"/>
  <c r="E17" i="1"/>
  <c r="E18" i="1"/>
  <c r="E19" i="1"/>
  <c r="E20" i="1"/>
  <c r="F15" i="1"/>
  <c r="F16" i="1"/>
  <c r="F17" i="1"/>
  <c r="F18" i="1"/>
  <c r="F19" i="1"/>
  <c r="F20" i="1"/>
  <c r="G15" i="1"/>
  <c r="G16" i="1"/>
  <c r="G17" i="1"/>
  <c r="G18" i="1"/>
  <c r="G19" i="1"/>
  <c r="G20" i="1"/>
  <c r="H15" i="1"/>
  <c r="H16" i="1"/>
  <c r="H17" i="1"/>
  <c r="H18" i="1"/>
  <c r="H19" i="1"/>
  <c r="H20" i="1"/>
  <c r="E14" i="1"/>
  <c r="F14" i="1"/>
  <c r="G14" i="1"/>
  <c r="H14" i="1"/>
  <c r="F6" i="1"/>
  <c r="F7" i="1"/>
  <c r="F8" i="1"/>
  <c r="F9" i="1"/>
  <c r="F10" i="1"/>
  <c r="F11" i="1"/>
  <c r="F12" i="1"/>
  <c r="F13" i="1"/>
  <c r="E13" i="1"/>
  <c r="G13" i="1"/>
  <c r="H13" i="1"/>
  <c r="H6" i="1"/>
  <c r="L6" i="2" s="1"/>
  <c r="H7" i="1"/>
  <c r="L7" i="2" s="1"/>
  <c r="H8" i="1"/>
  <c r="L8" i="2" s="1"/>
  <c r="H9" i="1"/>
  <c r="L9" i="2" s="1"/>
  <c r="H10" i="1"/>
  <c r="H11" i="1"/>
  <c r="H12" i="1"/>
  <c r="G6" i="1"/>
  <c r="K6" i="1" s="1"/>
  <c r="M6" i="1" s="1"/>
  <c r="G7" i="1"/>
  <c r="K7" i="2" s="1"/>
  <c r="G8" i="1"/>
  <c r="G9" i="1"/>
  <c r="K9" i="2" s="1"/>
  <c r="G10" i="1"/>
  <c r="K10" i="2" s="1"/>
  <c r="G11" i="1"/>
  <c r="G12" i="1"/>
  <c r="E6" i="1"/>
  <c r="E7" i="1"/>
  <c r="E8" i="1"/>
  <c r="E9" i="1"/>
  <c r="E10" i="1"/>
  <c r="E11" i="1"/>
  <c r="E12" i="1"/>
  <c r="L5" i="3" l="1"/>
  <c r="L8" i="3"/>
  <c r="L7" i="3"/>
  <c r="N79" i="1"/>
  <c r="N83" i="1"/>
  <c r="N77" i="1"/>
  <c r="K83" i="1"/>
  <c r="M83" i="1" s="1"/>
  <c r="K8" i="2"/>
  <c r="K72" i="1"/>
  <c r="M72" i="1" s="1"/>
  <c r="K73" i="1"/>
  <c r="M73" i="1" s="1"/>
  <c r="K66" i="1"/>
  <c r="M66" i="1" s="1"/>
  <c r="O66" i="1" s="1"/>
  <c r="K58" i="1"/>
  <c r="M58" i="1" s="1"/>
  <c r="K53" i="1"/>
  <c r="M53" i="1" s="1"/>
  <c r="K45" i="1"/>
  <c r="M45" i="1" s="1"/>
  <c r="K37" i="1"/>
  <c r="M37" i="1" s="1"/>
  <c r="N72" i="1"/>
  <c r="K6" i="2"/>
  <c r="K76" i="1"/>
  <c r="M76" i="1" s="1"/>
  <c r="L10" i="2"/>
  <c r="K46" i="1"/>
  <c r="M46" i="1" s="1"/>
  <c r="N31" i="1"/>
  <c r="L10" i="3"/>
  <c r="K7" i="3"/>
  <c r="K6" i="3"/>
  <c r="K5" i="3"/>
  <c r="N41" i="1"/>
  <c r="N28" i="1"/>
  <c r="K38" i="1"/>
  <c r="M38" i="1" s="1"/>
  <c r="N71" i="1"/>
  <c r="O71" i="1" s="1"/>
  <c r="K78" i="1"/>
  <c r="M78" i="1" s="1"/>
  <c r="K63" i="1"/>
  <c r="M63" i="1" s="1"/>
  <c r="K79" i="1"/>
  <c r="M79" i="1" s="1"/>
  <c r="N32" i="1"/>
  <c r="O32" i="1" s="1"/>
  <c r="K50" i="1"/>
  <c r="M50" i="1" s="1"/>
  <c r="N80" i="1"/>
  <c r="N52" i="1"/>
  <c r="K28" i="1"/>
  <c r="M28" i="1" s="1"/>
  <c r="O28" i="1" s="1"/>
  <c r="K67" i="1"/>
  <c r="M67" i="1" s="1"/>
  <c r="K59" i="1"/>
  <c r="M59" i="1" s="1"/>
  <c r="K81" i="1"/>
  <c r="M81" i="1" s="1"/>
  <c r="K77" i="1"/>
  <c r="M77" i="1" s="1"/>
  <c r="O77" i="1" s="1"/>
  <c r="N73" i="1"/>
  <c r="O73" i="1" s="1"/>
  <c r="N78" i="1"/>
  <c r="K42" i="1"/>
  <c r="M42" i="1" s="1"/>
  <c r="N44" i="1"/>
  <c r="N36" i="1"/>
  <c r="K22" i="1"/>
  <c r="M22" i="1" s="1"/>
  <c r="N68" i="1"/>
  <c r="N60" i="1"/>
  <c r="K82" i="1"/>
  <c r="M82" i="1" s="1"/>
  <c r="O82" i="1" s="1"/>
  <c r="N76" i="1"/>
  <c r="K75" i="1"/>
  <c r="M75" i="1" s="1"/>
  <c r="O75" i="1" s="1"/>
  <c r="K31" i="1"/>
  <c r="M31" i="1" s="1"/>
  <c r="O31" i="1" s="1"/>
  <c r="N56" i="1"/>
  <c r="O56" i="1" s="1"/>
  <c r="N48" i="1"/>
  <c r="O48" i="1" s="1"/>
  <c r="N40" i="1"/>
  <c r="O40" i="1" s="1"/>
  <c r="K80" i="1"/>
  <c r="M80" i="1" s="1"/>
  <c r="N47" i="1"/>
  <c r="N81" i="1"/>
  <c r="O81" i="1" s="1"/>
  <c r="N74" i="1"/>
  <c r="O74" i="1" s="1"/>
  <c r="N64" i="1"/>
  <c r="N53" i="1"/>
  <c r="N45" i="1"/>
  <c r="N37" i="1"/>
  <c r="O37" i="1" s="1"/>
  <c r="K30" i="1"/>
  <c r="M30" i="1" s="1"/>
  <c r="N55" i="1"/>
  <c r="K68" i="1"/>
  <c r="M68" i="1" s="1"/>
  <c r="K60" i="1"/>
  <c r="M60" i="1" s="1"/>
  <c r="K54" i="1"/>
  <c r="M54" i="1" s="1"/>
  <c r="K52" i="1"/>
  <c r="M52" i="1" s="1"/>
  <c r="K44" i="1"/>
  <c r="M44" i="1" s="1"/>
  <c r="K25" i="1"/>
  <c r="M25" i="1" s="1"/>
  <c r="K29" i="1"/>
  <c r="M29" i="1" s="1"/>
  <c r="N67" i="1"/>
  <c r="N59" i="1"/>
  <c r="O59" i="1" s="1"/>
  <c r="K64" i="1"/>
  <c r="M64" i="1" s="1"/>
  <c r="K34" i="1"/>
  <c r="M34" i="1" s="1"/>
  <c r="K57" i="1"/>
  <c r="M57" i="1" s="1"/>
  <c r="O57" i="1" s="1"/>
  <c r="K62" i="1"/>
  <c r="M62" i="1" s="1"/>
  <c r="K70" i="1"/>
  <c r="M70" i="1" s="1"/>
  <c r="N63" i="1"/>
  <c r="N70" i="1"/>
  <c r="N62" i="1"/>
  <c r="K69" i="1"/>
  <c r="M69" i="1" s="1"/>
  <c r="K61" i="1"/>
  <c r="M61" i="1" s="1"/>
  <c r="N69" i="1"/>
  <c r="N65" i="1"/>
  <c r="N61" i="1"/>
  <c r="K65" i="1"/>
  <c r="M65" i="1" s="1"/>
  <c r="O58" i="1"/>
  <c r="N50" i="1"/>
  <c r="N42" i="1"/>
  <c r="N34" i="1"/>
  <c r="K36" i="1"/>
  <c r="M36" i="1" s="1"/>
  <c r="N24" i="1"/>
  <c r="K49" i="1"/>
  <c r="M49" i="1" s="1"/>
  <c r="O49" i="1" s="1"/>
  <c r="N54" i="1"/>
  <c r="N46" i="1"/>
  <c r="O46" i="1" s="1"/>
  <c r="N38" i="1"/>
  <c r="N39" i="1"/>
  <c r="K51" i="1"/>
  <c r="M51" i="1" s="1"/>
  <c r="K35" i="1"/>
  <c r="M35" i="1" s="1"/>
  <c r="K43" i="1"/>
  <c r="M43" i="1" s="1"/>
  <c r="K41" i="1"/>
  <c r="M41" i="1" s="1"/>
  <c r="K33" i="1"/>
  <c r="M33" i="1" s="1"/>
  <c r="O33" i="1" s="1"/>
  <c r="K55" i="1"/>
  <c r="M55" i="1" s="1"/>
  <c r="K47" i="1"/>
  <c r="M47" i="1" s="1"/>
  <c r="K39" i="1"/>
  <c r="M39" i="1" s="1"/>
  <c r="N51" i="1"/>
  <c r="N43" i="1"/>
  <c r="N35" i="1"/>
  <c r="N30" i="1"/>
  <c r="N29" i="1"/>
  <c r="K27" i="1"/>
  <c r="M27" i="1" s="1"/>
  <c r="N22" i="1"/>
  <c r="O22" i="1" s="1"/>
  <c r="K24" i="1"/>
  <c r="M24" i="1" s="1"/>
  <c r="N26" i="1"/>
  <c r="N27" i="1"/>
  <c r="K13" i="1"/>
  <c r="M13" i="1" s="1"/>
  <c r="K26" i="1"/>
  <c r="M26" i="1" s="1"/>
  <c r="K14" i="1"/>
  <c r="M14" i="1" s="1"/>
  <c r="N23" i="1"/>
  <c r="N21" i="1"/>
  <c r="K23" i="1"/>
  <c r="M23" i="1" s="1"/>
  <c r="N25" i="1"/>
  <c r="K21" i="1"/>
  <c r="M21" i="1" s="1"/>
  <c r="K15" i="1"/>
  <c r="M15" i="1" s="1"/>
  <c r="N20" i="1"/>
  <c r="K19" i="1"/>
  <c r="M19" i="1" s="1"/>
  <c r="K12" i="1"/>
  <c r="M12" i="1" s="1"/>
  <c r="N18" i="1"/>
  <c r="N15" i="1"/>
  <c r="K18" i="1"/>
  <c r="M18" i="1" s="1"/>
  <c r="N11" i="1"/>
  <c r="N9" i="1"/>
  <c r="N19" i="1"/>
  <c r="K17" i="1"/>
  <c r="M17" i="1" s="1"/>
  <c r="N17" i="1"/>
  <c r="K16" i="1"/>
  <c r="M16" i="1" s="1"/>
  <c r="N8" i="1"/>
  <c r="N10" i="1"/>
  <c r="N12" i="1"/>
  <c r="N16" i="1"/>
  <c r="K20" i="1"/>
  <c r="M20" i="1" s="1"/>
  <c r="O20" i="1" s="1"/>
  <c r="N7" i="1"/>
  <c r="N14" i="1"/>
  <c r="N6" i="1"/>
  <c r="O6" i="1" s="1"/>
  <c r="N13" i="1"/>
  <c r="K7" i="1"/>
  <c r="M7" i="1" s="1"/>
  <c r="K11" i="1"/>
  <c r="M11" i="1" s="1"/>
  <c r="K10" i="1"/>
  <c r="M10" i="1" s="1"/>
  <c r="K9" i="1"/>
  <c r="M9" i="1" s="1"/>
  <c r="K8" i="1"/>
  <c r="M8" i="1" s="1"/>
  <c r="O79" i="1" l="1"/>
  <c r="O83" i="1"/>
  <c r="O67" i="1"/>
  <c r="O54" i="1"/>
  <c r="O45" i="1"/>
  <c r="O72" i="1"/>
  <c r="O53" i="1"/>
  <c r="O78" i="1"/>
  <c r="O60" i="1"/>
  <c r="O63" i="1"/>
  <c r="O41" i="1"/>
  <c r="O76" i="1"/>
  <c r="O38" i="1"/>
  <c r="O52" i="1"/>
  <c r="O80" i="1"/>
  <c r="O68" i="1"/>
  <c r="O25" i="1"/>
  <c r="O50" i="1"/>
  <c r="O44" i="1"/>
  <c r="O39" i="1"/>
  <c r="O36" i="1"/>
  <c r="O42" i="1"/>
  <c r="O34" i="1"/>
  <c r="O47" i="1"/>
  <c r="O62" i="1"/>
  <c r="O70" i="1"/>
  <c r="O55" i="1"/>
  <c r="O30" i="1"/>
  <c r="O64" i="1"/>
  <c r="O69" i="1"/>
  <c r="O29" i="1"/>
  <c r="O65" i="1"/>
  <c r="O61" i="1"/>
  <c r="O24" i="1"/>
  <c r="O43" i="1"/>
  <c r="O51" i="1"/>
  <c r="O35" i="1"/>
  <c r="O13" i="1"/>
  <c r="O14" i="1"/>
  <c r="O21" i="1"/>
  <c r="O27" i="1"/>
  <c r="O23" i="1"/>
  <c r="O26" i="1"/>
  <c r="O18" i="1"/>
  <c r="O15" i="1"/>
  <c r="O19" i="1"/>
  <c r="O12" i="1"/>
  <c r="O11" i="1"/>
  <c r="O9" i="1"/>
  <c r="O17" i="1"/>
  <c r="O16" i="1"/>
  <c r="O8" i="1"/>
  <c r="O10" i="1"/>
  <c r="O7" i="1"/>
</calcChain>
</file>

<file path=xl/sharedStrings.xml><?xml version="1.0" encoding="utf-8"?>
<sst xmlns="http://schemas.openxmlformats.org/spreadsheetml/2006/main" count="67" uniqueCount="26">
  <si>
    <t>x</t>
  </si>
  <si>
    <t>l</t>
  </si>
  <si>
    <t>BM</t>
  </si>
  <si>
    <t>SF</t>
  </si>
  <si>
    <t>K1</t>
  </si>
  <si>
    <t>K2</t>
  </si>
  <si>
    <t>Me</t>
  </si>
  <si>
    <t>c</t>
  </si>
  <si>
    <t>a</t>
  </si>
  <si>
    <t>b</t>
  </si>
  <si>
    <t>d</t>
  </si>
  <si>
    <t>Z</t>
  </si>
  <si>
    <t>bd</t>
  </si>
  <si>
    <t>Load(p)</t>
  </si>
  <si>
    <t>Ra</t>
  </si>
  <si>
    <t>Rb</t>
  </si>
  <si>
    <t>ALL DIMENSIONS ARE IN MM AND N</t>
  </si>
  <si>
    <t>Bending Stress</t>
  </si>
  <si>
    <t>Shear Stress</t>
  </si>
  <si>
    <t>Me=0.6</t>
  </si>
  <si>
    <t>Me=0.3</t>
  </si>
  <si>
    <t>P1</t>
  </si>
  <si>
    <t>P2</t>
  </si>
  <si>
    <t>ABAQUS MODEL - 0.3</t>
  </si>
  <si>
    <t>ABAQUS MODEL - 0.6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</si>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</sst>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03679-CB38-4E38-95A4-F123396B5BA3}" name="Table1" displayName="Table1" ref="A5:T83" totalsRowShown="0" headerRowDxfId="21" dataDxfId="20">
  <autoFilter ref="A5:T83" xr:uid="{6B303679-CB38-4E38-95A4-F123396B5B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185702B4-A19B-43A1-B695-F010D35757A1}" name="l" dataDxfId="19"/>
    <tableColumn id="2" xr3:uid="{1587CA04-2D8A-432F-AAD0-E6D57187E7A4}" name="x" dataDxfId="18"/>
    <tableColumn id="10" xr3:uid="{E81C4C80-8A5D-47FA-8612-7C0761F3D58D}" name="c" dataDxfId="17"/>
    <tableColumn id="11" xr3:uid="{E3D57BE8-7CEF-4185-83BC-31BA2CC6C52D}" name="a" dataDxfId="16"/>
    <tableColumn id="19" xr3:uid="{4B5CCEAC-97DF-42D7-8348-C33EB46212CE}" name="Ra" dataDxfId="15">
      <calculatedColumnFormula>(Table1[[#This Row],[Load(p)]]*Table1[[#This Row],[x]])/Table1[[#This Row],[l]]</calculatedColumnFormula>
    </tableColumn>
    <tableColumn id="18" xr3:uid="{02E11958-30D7-405E-8E29-2BE2F7DB4D5B}" name="Rb" dataDxfId="14">
      <calculatedColumnFormula>(Table1[[#This Row],[Load(p)]]*(Table1[[#This Row],[l]]-Table1[[#This Row],[x]])/Table1[[#This Row],[l]])</calculatedColumnFormula>
    </tableColumn>
    <tableColumn id="3" xr3:uid="{E7948385-07B4-46F7-BC25-DB72B6D9ED0D}" name="BM" dataDxfId="13">
      <calculatedColumnFormula>(((2*Table1[[#This Row],[x]])-Table1[[#This Row],[l]])*(Table1[[#This Row],[Load(p)]]*Table1[[#This Row],[c]]))/Table1[[#This Row],[l]]</calculatedColumnFormula>
    </tableColumn>
    <tableColumn id="4" xr3:uid="{17613717-8CD6-45D0-8362-3142BE07C0E8}" name="SF" dataDxfId="12">
      <calculatedColumnFormula>(((2*Table1[[#This Row],[x]])-Table1[[#This Row],[l]])*(Table1[[#This Row],[Load(p)]]))/Table1[[#This Row],[l]]</calculatedColumnFormula>
    </tableColumn>
    <tableColumn id="16" xr3:uid="{FE51E57A-7F43-4C48-974C-02C66789F90D}" name="P1" dataDxfId="11">
      <calculatedColumnFormula>Table1[[#This Row],[Load(p)]]*((Table1[[#This Row],[l]]-Table1[[#This Row],[x]])/Table1[[#This Row],[l]])</calculatedColumnFormula>
    </tableColumn>
    <tableColumn id="20" xr3:uid="{882326D1-6674-4250-9E86-4B518CEC6D9F}" name="P2" dataDxfId="10">
      <calculatedColumnFormula>Table1[[#This Row],[Load(p)]]*(Table1[[#This Row],[x]]/Table1[[#This Row],[l]])</calculatedColumnFormula>
    </tableColumn>
    <tableColumn id="5" xr3:uid="{7CE37C9B-6979-4A44-9401-3A37BC405BFD}" name="Bending Stress" dataDxfId="9">
      <calculatedColumnFormula>Table1[[#This Row],[BM]]/Table1[[#This Row],[Z]]</calculatedColumnFormula>
    </tableColumn>
    <tableColumn id="6" xr3:uid="{FFF2FBD0-0760-4C35-BC22-88F29DFF652C}" name="Shear Stress" dataDxfId="8">
      <calculatedColumnFormula>Table1[[#This Row],[SF]]/Table1[[#This Row],[bd]]</calculatedColumnFormula>
    </tableColumn>
    <tableColumn id="7" xr3:uid="{F493EE40-AA6F-466C-BF58-8E65222B44BD}" name="K1" dataDxfId="7">
      <calculatedColumnFormula>(K6)*SQRT(PI()*D6)</calculatedColumnFormula>
    </tableColumn>
    <tableColumn id="8" xr3:uid="{7582BB65-52E6-42C5-A1EA-90374AA957C2}" name="K2" dataDxfId="6">
      <calculatedColumnFormula>(Table1[[#This Row],[Shear Stress]])*SQRT(PI()*Table1[[#This Row],[a]])</calculatedColumnFormula>
    </tableColumn>
    <tableColumn id="9" xr3:uid="{9479A94F-5FAA-4179-BD0D-FEF948917538}" name="Me" dataDxfId="5">
      <calculatedColumnFormula>(2/PI())*(ATAN((M6/N6)))</calculatedColumnFormula>
    </tableColumn>
    <tableColumn id="12" xr3:uid="{D0DAD7C7-685D-4D13-BCA5-35DC5DFE839B}" name="b" dataDxfId="4"/>
    <tableColumn id="13" xr3:uid="{F6A11517-B682-489B-ADFC-2D35BE98812F}" name="d" dataDxfId="3"/>
    <tableColumn id="14" xr3:uid="{A12A23EC-AC5D-4322-8B38-78E4D95BB066}" name="Z" dataDxfId="2">
      <calculatedColumnFormula>(Table1[[#This Row],[b]]*(Table1[[#This Row],[d]]^2))/6</calculatedColumnFormula>
    </tableColumn>
    <tableColumn id="15" xr3:uid="{04A19498-C3A9-4486-82ED-77ABA3772C39}" name="bd" dataDxfId="1">
      <calculatedColumnFormula>Table1[[#This Row],[b]]*Table1[[#This Row],[d]]</calculatedColumnFormula>
    </tableColumn>
    <tableColumn id="17" xr3:uid="{8DC754AC-ED8E-4241-9966-62CDF8BC6C8F}" name="Load(p)" dataDxfId="0"/>
  </tableColumns>
  <tableStyleInfo name="TableStyleLight1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A9765B-733E-4D5A-8BB0-01236D7A1ACF}">
  <we:reference id="44446093-b465-4d6c-a6dc-5faf6de98677" version="3.0.0.4" store="EXCatalog" storeType="EXCatalog"/>
  <we:alternateReferences>
    <we:reference id="WA200005271" version="3.0.0.4" store="en-IN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C3D3-A187-4762-ACF0-A1FF6EE4E5A8}">
  <dimension ref="A2:W83"/>
  <sheetViews>
    <sheetView zoomScale="85" zoomScaleNormal="85" workbookViewId="0">
      <selection activeCell="T6" sqref="A5:T6"/>
    </sheetView>
  </sheetViews>
  <sheetFormatPr defaultRowHeight="15" x14ac:dyDescent="0.25"/>
  <cols>
    <col min="9" max="9" width="10.5703125" customWidth="1"/>
    <col min="10" max="10" width="11.5703125" customWidth="1"/>
    <col min="11" max="11" width="19.7109375" customWidth="1"/>
    <col min="17" max="17" width="10" bestFit="1" customWidth="1"/>
  </cols>
  <sheetData>
    <row r="2" spans="1:20" x14ac:dyDescent="0.25">
      <c r="E2" s="26" t="s">
        <v>16</v>
      </c>
      <c r="F2" s="26"/>
      <c r="G2" s="26"/>
      <c r="H2" s="26"/>
      <c r="I2" s="26"/>
      <c r="J2" s="26"/>
      <c r="K2" s="26"/>
      <c r="L2" s="26"/>
      <c r="M2" s="26"/>
      <c r="N2" s="26"/>
    </row>
    <row r="5" spans="1:20" x14ac:dyDescent="0.25">
      <c r="A5" s="1" t="s">
        <v>1</v>
      </c>
      <c r="B5" s="1" t="s">
        <v>0</v>
      </c>
      <c r="C5" s="1" t="s">
        <v>7</v>
      </c>
      <c r="D5" s="1" t="s">
        <v>8</v>
      </c>
      <c r="E5" s="1" t="s">
        <v>14</v>
      </c>
      <c r="F5" s="1" t="s">
        <v>15</v>
      </c>
      <c r="G5" s="1" t="s">
        <v>2</v>
      </c>
      <c r="H5" s="1" t="s">
        <v>3</v>
      </c>
      <c r="I5" s="1" t="s">
        <v>21</v>
      </c>
      <c r="J5" s="1" t="s">
        <v>22</v>
      </c>
      <c r="K5" s="1" t="s">
        <v>17</v>
      </c>
      <c r="L5" s="1" t="s">
        <v>18</v>
      </c>
      <c r="M5" s="1" t="s">
        <v>4</v>
      </c>
      <c r="N5" s="1" t="s">
        <v>5</v>
      </c>
      <c r="O5" s="1" t="s">
        <v>6</v>
      </c>
      <c r="P5" s="2" t="s">
        <v>9</v>
      </c>
      <c r="Q5" s="2" t="s">
        <v>10</v>
      </c>
      <c r="R5" s="2" t="s">
        <v>11</v>
      </c>
      <c r="S5" s="2" t="s">
        <v>12</v>
      </c>
      <c r="T5" s="1" t="s">
        <v>13</v>
      </c>
    </row>
    <row r="6" spans="1:20" x14ac:dyDescent="0.25">
      <c r="A6" s="3">
        <v>1000</v>
      </c>
      <c r="B6" s="3">
        <v>400</v>
      </c>
      <c r="C6" s="3">
        <v>0</v>
      </c>
      <c r="D6" s="3">
        <v>60</v>
      </c>
      <c r="E6" s="3">
        <f>(Table1[[#This Row],[Load(p)]]*Table1[[#This Row],[x]])/Table1[[#This Row],[l]]</f>
        <v>400</v>
      </c>
      <c r="F6" s="3">
        <f>(Table1[[#This Row],[Load(p)]]*(Table1[[#This Row],[l]]-Table1[[#This Row],[x]])/Table1[[#This Row],[l]])</f>
        <v>600</v>
      </c>
      <c r="G6" s="3">
        <f>(((2*Table1[[#This Row],[x]])-Table1[[#This Row],[l]])*(Table1[[#This Row],[Load(p)]]*Table1[[#This Row],[c]]))/Table1[[#This Row],[l]]</f>
        <v>0</v>
      </c>
      <c r="H6" s="3">
        <f>(((2*Table1[[#This Row],[x]])-Table1[[#This Row],[l]])*(Table1[[#This Row],[Load(p)]]))/Table1[[#This Row],[l]]</f>
        <v>-200</v>
      </c>
      <c r="I6" s="3">
        <f>Table1[[#This Row],[Load(p)]]*((Table1[[#This Row],[l]]-Table1[[#This Row],[x]])/Table1[[#This Row],[l]])</f>
        <v>600</v>
      </c>
      <c r="J6" s="3">
        <f>Table1[[#This Row],[Load(p)]]*(Table1[[#This Row],[x]]/Table1[[#This Row],[l]])</f>
        <v>400</v>
      </c>
      <c r="K6" s="3">
        <f>Table1[[#This Row],[BM]]/Table1[[#This Row],[Z]]</f>
        <v>0</v>
      </c>
      <c r="L6" s="3">
        <f>Table1[[#This Row],[SF]]/Table1[[#This Row],[bd]]</f>
        <v>-1.3333333333333334E-2</v>
      </c>
      <c r="M6" s="3">
        <f t="shared" ref="M6:M37" si="0">(K6)*SQRT(PI()*D6)</f>
        <v>0</v>
      </c>
      <c r="N6" s="3">
        <f>(Table1[[#This Row],[Shear Stress]])*SQRT(PI()*Table1[[#This Row],[a]])</f>
        <v>-0.1830582465727538</v>
      </c>
      <c r="O6" s="3">
        <f t="shared" ref="O6:O13" si="1">(2/PI())*(ATAN((M6/N6)))</f>
        <v>0</v>
      </c>
      <c r="P6" s="3">
        <v>50</v>
      </c>
      <c r="Q6" s="3">
        <v>300</v>
      </c>
      <c r="R6" s="3">
        <f>(Table1[[#This Row],[b]]*(Table1[[#This Row],[d]]^2))/6</f>
        <v>750000</v>
      </c>
      <c r="S6" s="3">
        <f>Table1[[#This Row],[b]]*Table1[[#This Row],[d]]</f>
        <v>15000</v>
      </c>
      <c r="T6" s="3">
        <v>1000</v>
      </c>
    </row>
    <row r="7" spans="1:20" ht="22.5" customHeight="1" x14ac:dyDescent="0.25">
      <c r="A7" s="3">
        <v>1000</v>
      </c>
      <c r="B7" s="3">
        <v>400</v>
      </c>
      <c r="C7" s="3">
        <v>50</v>
      </c>
      <c r="D7" s="3">
        <v>60</v>
      </c>
      <c r="E7" s="3">
        <f>(Table1[[#This Row],[Load(p)]]*Table1[[#This Row],[x]])/Table1[[#This Row],[l]]</f>
        <v>400</v>
      </c>
      <c r="F7" s="3">
        <f>(Table1[[#This Row],[Load(p)]]*(Table1[[#This Row],[l]]-Table1[[#This Row],[x]])/Table1[[#This Row],[l]])</f>
        <v>600</v>
      </c>
      <c r="G7" s="3">
        <f>(((2*Table1[[#This Row],[x]])-Table1[[#This Row],[l]])*(Table1[[#This Row],[Load(p)]]*Table1[[#This Row],[c]]))/Table1[[#This Row],[l]]</f>
        <v>-10000</v>
      </c>
      <c r="H7" s="3">
        <f>(((2*Table1[[#This Row],[x]])-Table1[[#This Row],[l]])*(Table1[[#This Row],[Load(p)]]))/Table1[[#This Row],[l]]</f>
        <v>-200</v>
      </c>
      <c r="I7" s="3">
        <f>Table1[[#This Row],[Load(p)]]*((Table1[[#This Row],[l]]-Table1[[#This Row],[x]])/Table1[[#This Row],[l]])</f>
        <v>600</v>
      </c>
      <c r="J7" s="3">
        <f>Table1[[#This Row],[Load(p)]]*(Table1[[#This Row],[x]]/Table1[[#This Row],[l]])</f>
        <v>400</v>
      </c>
      <c r="K7" s="3">
        <f>Table1[[#This Row],[BM]]/Table1[[#This Row],[Z]]</f>
        <v>-1.3333333333333334E-2</v>
      </c>
      <c r="L7" s="3">
        <f>Table1[[#This Row],[SF]]/Table1[[#This Row],[bd]]</f>
        <v>-1.3333333333333334E-2</v>
      </c>
      <c r="M7" s="3">
        <f t="shared" si="0"/>
        <v>-0.1830582465727538</v>
      </c>
      <c r="N7" s="3">
        <f>(Table1[[#This Row],[Shear Stress]])*SQRT(PI()*Table1[[#This Row],[a]])</f>
        <v>-0.1830582465727538</v>
      </c>
      <c r="O7" s="3">
        <f t="shared" si="1"/>
        <v>0.5</v>
      </c>
      <c r="P7" s="3">
        <v>50</v>
      </c>
      <c r="Q7" s="3">
        <v>300</v>
      </c>
      <c r="R7" s="3">
        <f>(Table1[[#This Row],[b]]*(Table1[[#This Row],[d]]^2))/6</f>
        <v>750000</v>
      </c>
      <c r="S7" s="3">
        <f>Table1[[#This Row],[b]]*Table1[[#This Row],[d]]</f>
        <v>15000</v>
      </c>
      <c r="T7" s="3">
        <v>1000</v>
      </c>
    </row>
    <row r="8" spans="1:20" ht="22.5" customHeight="1" x14ac:dyDescent="0.25">
      <c r="A8" s="3">
        <v>1000</v>
      </c>
      <c r="B8" s="3">
        <v>400</v>
      </c>
      <c r="C8" s="3">
        <v>100</v>
      </c>
      <c r="D8" s="3">
        <v>60</v>
      </c>
      <c r="E8" s="3">
        <f>(Table1[[#This Row],[Load(p)]]*Table1[[#This Row],[x]])/Table1[[#This Row],[l]]</f>
        <v>400</v>
      </c>
      <c r="F8" s="3">
        <f>(Table1[[#This Row],[Load(p)]]*(Table1[[#This Row],[l]]-Table1[[#This Row],[x]])/Table1[[#This Row],[l]])</f>
        <v>600</v>
      </c>
      <c r="G8" s="3">
        <f>(((2*Table1[[#This Row],[x]])-Table1[[#This Row],[l]])*(Table1[[#This Row],[Load(p)]]*Table1[[#This Row],[c]]))/Table1[[#This Row],[l]]</f>
        <v>-20000</v>
      </c>
      <c r="H8" s="3">
        <f>(((2*Table1[[#This Row],[x]])-Table1[[#This Row],[l]])*(Table1[[#This Row],[Load(p)]]))/Table1[[#This Row],[l]]</f>
        <v>-200</v>
      </c>
      <c r="I8" s="3">
        <f>Table1[[#This Row],[Load(p)]]*((Table1[[#This Row],[l]]-Table1[[#This Row],[x]])/Table1[[#This Row],[l]])</f>
        <v>600</v>
      </c>
      <c r="J8" s="3">
        <f>Table1[[#This Row],[Load(p)]]*(Table1[[#This Row],[x]]/Table1[[#This Row],[l]])</f>
        <v>400</v>
      </c>
      <c r="K8" s="3">
        <f>Table1[[#This Row],[BM]]/Table1[[#This Row],[Z]]</f>
        <v>-2.6666666666666668E-2</v>
      </c>
      <c r="L8" s="3">
        <f>Table1[[#This Row],[SF]]/Table1[[#This Row],[bd]]</f>
        <v>-1.3333333333333334E-2</v>
      </c>
      <c r="M8" s="3">
        <f t="shared" si="0"/>
        <v>-0.36611649314550759</v>
      </c>
      <c r="N8" s="3">
        <f>(Table1[[#This Row],[Shear Stress]])*SQRT(PI()*Table1[[#This Row],[a]])</f>
        <v>-0.1830582465727538</v>
      </c>
      <c r="O8" s="3">
        <f t="shared" si="1"/>
        <v>0.70483276469913347</v>
      </c>
      <c r="P8" s="3">
        <v>50</v>
      </c>
      <c r="Q8" s="3">
        <v>300</v>
      </c>
      <c r="R8" s="3">
        <f>(Table1[[#This Row],[b]]*(Table1[[#This Row],[d]]^2))/6</f>
        <v>750000</v>
      </c>
      <c r="S8" s="3">
        <f>Table1[[#This Row],[b]]*Table1[[#This Row],[d]]</f>
        <v>15000</v>
      </c>
      <c r="T8" s="3">
        <v>1000</v>
      </c>
    </row>
    <row r="9" spans="1:20" ht="22.5" customHeight="1" x14ac:dyDescent="0.25">
      <c r="A9" s="3">
        <v>1000</v>
      </c>
      <c r="B9" s="3">
        <v>400</v>
      </c>
      <c r="C9" s="3">
        <v>150</v>
      </c>
      <c r="D9" s="3">
        <v>60</v>
      </c>
      <c r="E9" s="3">
        <f>(Table1[[#This Row],[Load(p)]]*Table1[[#This Row],[x]])/Table1[[#This Row],[l]]</f>
        <v>400</v>
      </c>
      <c r="F9" s="3">
        <f>(Table1[[#This Row],[Load(p)]]*(Table1[[#This Row],[l]]-Table1[[#This Row],[x]])/Table1[[#This Row],[l]])</f>
        <v>600</v>
      </c>
      <c r="G9" s="3">
        <f>(((2*Table1[[#This Row],[x]])-Table1[[#This Row],[l]])*(Table1[[#This Row],[Load(p)]]*Table1[[#This Row],[c]]))/Table1[[#This Row],[l]]</f>
        <v>-30000</v>
      </c>
      <c r="H9" s="3">
        <f>(((2*Table1[[#This Row],[x]])-Table1[[#This Row],[l]])*(Table1[[#This Row],[Load(p)]]))/Table1[[#This Row],[l]]</f>
        <v>-200</v>
      </c>
      <c r="I9" s="3">
        <f>Table1[[#This Row],[Load(p)]]*((Table1[[#This Row],[l]]-Table1[[#This Row],[x]])/Table1[[#This Row],[l]])</f>
        <v>600</v>
      </c>
      <c r="J9" s="3">
        <f>Table1[[#This Row],[Load(p)]]*(Table1[[#This Row],[x]]/Table1[[#This Row],[l]])</f>
        <v>400</v>
      </c>
      <c r="K9" s="3">
        <f>Table1[[#This Row],[BM]]/Table1[[#This Row],[Z]]</f>
        <v>-0.04</v>
      </c>
      <c r="L9" s="3">
        <f>Table1[[#This Row],[SF]]/Table1[[#This Row],[bd]]</f>
        <v>-1.3333333333333334E-2</v>
      </c>
      <c r="M9" s="3">
        <f t="shared" si="0"/>
        <v>-0.54917473971826136</v>
      </c>
      <c r="N9" s="3">
        <f>(Table1[[#This Row],[Shear Stress]])*SQRT(PI()*Table1[[#This Row],[a]])</f>
        <v>-0.1830582465727538</v>
      </c>
      <c r="O9" s="3">
        <f t="shared" si="1"/>
        <v>0.79516723530086664</v>
      </c>
      <c r="P9" s="3">
        <v>50</v>
      </c>
      <c r="Q9" s="3">
        <v>300</v>
      </c>
      <c r="R9" s="3">
        <f>(Table1[[#This Row],[b]]*(Table1[[#This Row],[d]]^2))/6</f>
        <v>750000</v>
      </c>
      <c r="S9" s="3">
        <f>Table1[[#This Row],[b]]*Table1[[#This Row],[d]]</f>
        <v>15000</v>
      </c>
      <c r="T9" s="3">
        <v>1000</v>
      </c>
    </row>
    <row r="10" spans="1:20" ht="22.5" customHeight="1" x14ac:dyDescent="0.25">
      <c r="A10" s="3">
        <v>1000</v>
      </c>
      <c r="B10" s="3">
        <v>400</v>
      </c>
      <c r="C10" s="3">
        <v>200</v>
      </c>
      <c r="D10" s="3">
        <v>60</v>
      </c>
      <c r="E10" s="3">
        <f>(Table1[[#This Row],[Load(p)]]*Table1[[#This Row],[x]])/Table1[[#This Row],[l]]</f>
        <v>400</v>
      </c>
      <c r="F10" s="3">
        <f>(Table1[[#This Row],[Load(p)]]*(Table1[[#This Row],[l]]-Table1[[#This Row],[x]])/Table1[[#This Row],[l]])</f>
        <v>600</v>
      </c>
      <c r="G10" s="3">
        <f>(((2*Table1[[#This Row],[x]])-Table1[[#This Row],[l]])*(Table1[[#This Row],[Load(p)]]*Table1[[#This Row],[c]]))/Table1[[#This Row],[l]]</f>
        <v>-40000</v>
      </c>
      <c r="H10" s="3">
        <f>(((2*Table1[[#This Row],[x]])-Table1[[#This Row],[l]])*(Table1[[#This Row],[Load(p)]]))/Table1[[#This Row],[l]]</f>
        <v>-200</v>
      </c>
      <c r="I10" s="3">
        <f>Table1[[#This Row],[Load(p)]]*((Table1[[#This Row],[l]]-Table1[[#This Row],[x]])/Table1[[#This Row],[l]])</f>
        <v>600</v>
      </c>
      <c r="J10" s="3">
        <f>Table1[[#This Row],[Load(p)]]*(Table1[[#This Row],[x]]/Table1[[#This Row],[l]])</f>
        <v>400</v>
      </c>
      <c r="K10" s="3">
        <f>Table1[[#This Row],[BM]]/Table1[[#This Row],[Z]]</f>
        <v>-5.3333333333333337E-2</v>
      </c>
      <c r="L10" s="3">
        <f>Table1[[#This Row],[SF]]/Table1[[#This Row],[bd]]</f>
        <v>-1.3333333333333334E-2</v>
      </c>
      <c r="M10" s="3">
        <f t="shared" si="0"/>
        <v>-0.73223298629101519</v>
      </c>
      <c r="N10" s="3">
        <f>(Table1[[#This Row],[Shear Stress]])*SQRT(PI()*Table1[[#This Row],[a]])</f>
        <v>-0.1830582465727538</v>
      </c>
      <c r="O10" s="3">
        <f t="shared" si="1"/>
        <v>0.84404173924526149</v>
      </c>
      <c r="P10" s="3">
        <v>50</v>
      </c>
      <c r="Q10" s="3">
        <v>300</v>
      </c>
      <c r="R10" s="3">
        <f>(Table1[[#This Row],[b]]*(Table1[[#This Row],[d]]^2))/6</f>
        <v>750000</v>
      </c>
      <c r="S10" s="3">
        <f>Table1[[#This Row],[b]]*Table1[[#This Row],[d]]</f>
        <v>15000</v>
      </c>
      <c r="T10" s="3">
        <v>1000</v>
      </c>
    </row>
    <row r="11" spans="1:20" ht="22.5" customHeight="1" x14ac:dyDescent="0.25">
      <c r="A11" s="3">
        <v>1000</v>
      </c>
      <c r="B11" s="3">
        <v>400</v>
      </c>
      <c r="C11" s="3">
        <v>250</v>
      </c>
      <c r="D11" s="3">
        <v>60</v>
      </c>
      <c r="E11" s="3">
        <f>(Table1[[#This Row],[Load(p)]]*Table1[[#This Row],[x]])/Table1[[#This Row],[l]]</f>
        <v>400</v>
      </c>
      <c r="F11" s="3">
        <f>(Table1[[#This Row],[Load(p)]]*(Table1[[#This Row],[l]]-Table1[[#This Row],[x]])/Table1[[#This Row],[l]])</f>
        <v>600</v>
      </c>
      <c r="G11" s="3">
        <f>(((2*Table1[[#This Row],[x]])-Table1[[#This Row],[l]])*(Table1[[#This Row],[Load(p)]]*Table1[[#This Row],[c]]))/Table1[[#This Row],[l]]</f>
        <v>-50000</v>
      </c>
      <c r="H11" s="3">
        <f>(((2*Table1[[#This Row],[x]])-Table1[[#This Row],[l]])*(Table1[[#This Row],[Load(p)]]))/Table1[[#This Row],[l]]</f>
        <v>-200</v>
      </c>
      <c r="I11" s="3">
        <f>Table1[[#This Row],[Load(p)]]*((Table1[[#This Row],[l]]-Table1[[#This Row],[x]])/Table1[[#This Row],[l]])</f>
        <v>600</v>
      </c>
      <c r="J11" s="3">
        <f>Table1[[#This Row],[Load(p)]]*(Table1[[#This Row],[x]]/Table1[[#This Row],[l]])</f>
        <v>400</v>
      </c>
      <c r="K11" s="3">
        <f>Table1[[#This Row],[BM]]/Table1[[#This Row],[Z]]</f>
        <v>-6.6666666666666666E-2</v>
      </c>
      <c r="L11" s="3">
        <f>Table1[[#This Row],[SF]]/Table1[[#This Row],[bd]]</f>
        <v>-1.3333333333333334E-2</v>
      </c>
      <c r="M11" s="3">
        <f t="shared" si="0"/>
        <v>-0.9152912328637689</v>
      </c>
      <c r="N11" s="3">
        <f>(Table1[[#This Row],[Shear Stress]])*SQRT(PI()*Table1[[#This Row],[a]])</f>
        <v>-0.1830582465727538</v>
      </c>
      <c r="O11" s="3">
        <f t="shared" si="1"/>
        <v>0.87433408362199772</v>
      </c>
      <c r="P11" s="3">
        <v>50</v>
      </c>
      <c r="Q11" s="3">
        <v>300</v>
      </c>
      <c r="R11" s="3">
        <f>(Table1[[#This Row],[b]]*(Table1[[#This Row],[d]]^2))/6</f>
        <v>750000</v>
      </c>
      <c r="S11" s="3">
        <f>Table1[[#This Row],[b]]*Table1[[#This Row],[d]]</f>
        <v>15000</v>
      </c>
      <c r="T11" s="3">
        <v>1000</v>
      </c>
    </row>
    <row r="12" spans="1:20" ht="22.5" customHeight="1" x14ac:dyDescent="0.25">
      <c r="A12" s="3">
        <v>1000</v>
      </c>
      <c r="B12" s="3">
        <v>400</v>
      </c>
      <c r="C12" s="3">
        <v>300</v>
      </c>
      <c r="D12" s="3">
        <v>60</v>
      </c>
      <c r="E12" s="3">
        <f>(Table1[[#This Row],[Load(p)]]*Table1[[#This Row],[x]])/Table1[[#This Row],[l]]</f>
        <v>400</v>
      </c>
      <c r="F12" s="3">
        <f>(Table1[[#This Row],[Load(p)]]*(Table1[[#This Row],[l]]-Table1[[#This Row],[x]])/Table1[[#This Row],[l]])</f>
        <v>600</v>
      </c>
      <c r="G12" s="3">
        <f>(((2*Table1[[#This Row],[x]])-Table1[[#This Row],[l]])*(Table1[[#This Row],[Load(p)]]*Table1[[#This Row],[c]]))/Table1[[#This Row],[l]]</f>
        <v>-60000</v>
      </c>
      <c r="H12" s="3">
        <f>(((2*Table1[[#This Row],[x]])-Table1[[#This Row],[l]])*(Table1[[#This Row],[Load(p)]]))/Table1[[#This Row],[l]]</f>
        <v>-200</v>
      </c>
      <c r="I12" s="3">
        <f>Table1[[#This Row],[Load(p)]]*((Table1[[#This Row],[l]]-Table1[[#This Row],[x]])/Table1[[#This Row],[l]])</f>
        <v>600</v>
      </c>
      <c r="J12" s="3">
        <f>Table1[[#This Row],[Load(p)]]*(Table1[[#This Row],[x]]/Table1[[#This Row],[l]])</f>
        <v>400</v>
      </c>
      <c r="K12" s="3">
        <f>Table1[[#This Row],[BM]]/Table1[[#This Row],[Z]]</f>
        <v>-0.08</v>
      </c>
      <c r="L12" s="3">
        <f>Table1[[#This Row],[SF]]/Table1[[#This Row],[bd]]</f>
        <v>-1.3333333333333334E-2</v>
      </c>
      <c r="M12" s="3">
        <f t="shared" si="0"/>
        <v>-1.0983494794365227</v>
      </c>
      <c r="N12" s="3">
        <f>(Table1[[#This Row],[Shear Stress]])*SQRT(PI()*Table1[[#This Row],[a]])</f>
        <v>-0.1830582465727538</v>
      </c>
      <c r="O12" s="3">
        <f t="shared" si="1"/>
        <v>0.89486308657749325</v>
      </c>
      <c r="P12" s="3">
        <v>50</v>
      </c>
      <c r="Q12" s="3">
        <v>300</v>
      </c>
      <c r="R12" s="3">
        <f>(Table1[[#This Row],[b]]*(Table1[[#This Row],[d]]^2))/6</f>
        <v>750000</v>
      </c>
      <c r="S12" s="3">
        <f>Table1[[#This Row],[b]]*Table1[[#This Row],[d]]</f>
        <v>15000</v>
      </c>
      <c r="T12" s="3">
        <v>1000</v>
      </c>
    </row>
    <row r="13" spans="1:20" ht="22.5" customHeight="1" x14ac:dyDescent="0.25">
      <c r="A13" s="3">
        <v>1000</v>
      </c>
      <c r="B13" s="3">
        <v>400</v>
      </c>
      <c r="C13" s="3">
        <v>350</v>
      </c>
      <c r="D13" s="3">
        <v>60</v>
      </c>
      <c r="E13" s="3">
        <f>(Table1[[#This Row],[Load(p)]]*Table1[[#This Row],[x]])/Table1[[#This Row],[l]]</f>
        <v>400</v>
      </c>
      <c r="F13" s="3">
        <f>(Table1[[#This Row],[Load(p)]]*(Table1[[#This Row],[l]]-Table1[[#This Row],[x]])/Table1[[#This Row],[l]])</f>
        <v>600</v>
      </c>
      <c r="G13" s="3">
        <f>(((2*Table1[[#This Row],[x]])-Table1[[#This Row],[l]])*(Table1[[#This Row],[Load(p)]]*Table1[[#This Row],[c]]))/Table1[[#This Row],[l]]</f>
        <v>-70000</v>
      </c>
      <c r="H13" s="3">
        <f>(((2*Table1[[#This Row],[x]])-Table1[[#This Row],[l]])*(Table1[[#This Row],[Load(p)]]))/Table1[[#This Row],[l]]</f>
        <v>-200</v>
      </c>
      <c r="I13" s="3">
        <f>Table1[[#This Row],[Load(p)]]*((Table1[[#This Row],[l]]-Table1[[#This Row],[x]])/Table1[[#This Row],[l]])</f>
        <v>600</v>
      </c>
      <c r="J13" s="3">
        <f>Table1[[#This Row],[Load(p)]]*(Table1[[#This Row],[x]]/Table1[[#This Row],[l]])</f>
        <v>400</v>
      </c>
      <c r="K13" s="3">
        <f>Table1[[#This Row],[BM]]/Table1[[#This Row],[Z]]</f>
        <v>-9.3333333333333338E-2</v>
      </c>
      <c r="L13" s="3">
        <f>Table1[[#This Row],[SF]]/Table1[[#This Row],[bd]]</f>
        <v>-1.3333333333333334E-2</v>
      </c>
      <c r="M13" s="3">
        <f t="shared" si="0"/>
        <v>-1.2814077260092764</v>
      </c>
      <c r="N13" s="3">
        <f>(Table1[[#This Row],[Shear Stress]])*SQRT(PI()*Table1[[#This Row],[a]])</f>
        <v>-0.1830582465727538</v>
      </c>
      <c r="O13" s="3">
        <f t="shared" si="1"/>
        <v>0.90966552939826695</v>
      </c>
      <c r="P13" s="3">
        <v>50</v>
      </c>
      <c r="Q13" s="3">
        <v>300</v>
      </c>
      <c r="R13" s="3">
        <f>(Table1[[#This Row],[b]]*(Table1[[#This Row],[d]]^2))/6</f>
        <v>750000</v>
      </c>
      <c r="S13" s="3">
        <f>Table1[[#This Row],[b]]*Table1[[#This Row],[d]]</f>
        <v>15000</v>
      </c>
      <c r="T13" s="3">
        <v>1000</v>
      </c>
    </row>
    <row r="14" spans="1:20" ht="22.5" customHeight="1" x14ac:dyDescent="0.25">
      <c r="A14" s="3">
        <v>950</v>
      </c>
      <c r="B14" s="3">
        <v>350</v>
      </c>
      <c r="C14" s="3">
        <v>0</v>
      </c>
      <c r="D14" s="3">
        <v>60</v>
      </c>
      <c r="E14" s="3">
        <f>(Table1[[#This Row],[Load(p)]]*Table1[[#This Row],[x]])/Table1[[#This Row],[l]]</f>
        <v>368.42105263157896</v>
      </c>
      <c r="F14" s="3">
        <f>(Table1[[#This Row],[Load(p)]]*(Table1[[#This Row],[l]]-Table1[[#This Row],[x]])/Table1[[#This Row],[l]])</f>
        <v>631.57894736842104</v>
      </c>
      <c r="G14" s="3">
        <f>(((2*Table1[[#This Row],[x]])-Table1[[#This Row],[l]])*(Table1[[#This Row],[Load(p)]]*Table1[[#This Row],[c]]))/Table1[[#This Row],[l]]</f>
        <v>0</v>
      </c>
      <c r="H14" s="3">
        <f>(((2*Table1[[#This Row],[x]])-Table1[[#This Row],[l]])*(Table1[[#This Row],[Load(p)]]))/Table1[[#This Row],[l]]</f>
        <v>-263.15789473684208</v>
      </c>
      <c r="I14" s="3">
        <f>Table1[[#This Row],[Load(p)]]*((Table1[[#This Row],[l]]-Table1[[#This Row],[x]])/Table1[[#This Row],[l]])</f>
        <v>631.57894736842104</v>
      </c>
      <c r="J14" s="3">
        <f>Table1[[#This Row],[Load(p)]]*(Table1[[#This Row],[x]]/Table1[[#This Row],[l]])</f>
        <v>368.4210526315789</v>
      </c>
      <c r="K14" s="3">
        <f>Table1[[#This Row],[BM]]/Table1[[#This Row],[Z]]</f>
        <v>0</v>
      </c>
      <c r="L14" s="3">
        <f>Table1[[#This Row],[SF]]/Table1[[#This Row],[bd]]</f>
        <v>-1.7543859649122806E-2</v>
      </c>
      <c r="M14" s="3">
        <f t="shared" si="0"/>
        <v>0</v>
      </c>
      <c r="N14" s="3">
        <f>(Table1[[#This Row],[Shear Stress]])*SQRT(PI()*Table1[[#This Row],[a]])</f>
        <v>-0.2408661139115181</v>
      </c>
      <c r="O14" s="3">
        <f>(2/PI())*(ATAN((M14/N14)))</f>
        <v>0</v>
      </c>
      <c r="P14" s="3">
        <v>50</v>
      </c>
      <c r="Q14" s="3">
        <v>300</v>
      </c>
      <c r="R14" s="3">
        <f>(Table1[[#This Row],[b]]*(Table1[[#This Row],[d]]^2))/6</f>
        <v>750000</v>
      </c>
      <c r="S14" s="3">
        <f>Table1[[#This Row],[b]]*Table1[[#This Row],[d]]</f>
        <v>15000</v>
      </c>
      <c r="T14" s="3">
        <v>1000</v>
      </c>
    </row>
    <row r="15" spans="1:20" ht="22.5" customHeight="1" x14ac:dyDescent="0.25">
      <c r="A15" s="3">
        <v>950</v>
      </c>
      <c r="B15" s="3">
        <v>350</v>
      </c>
      <c r="C15" s="3">
        <v>50</v>
      </c>
      <c r="D15" s="3">
        <v>60</v>
      </c>
      <c r="E15" s="3">
        <f>(Table1[[#This Row],[Load(p)]]*Table1[[#This Row],[x]])/Table1[[#This Row],[l]]</f>
        <v>368.42105263157896</v>
      </c>
      <c r="F15" s="3">
        <f>(Table1[[#This Row],[Load(p)]]*(Table1[[#This Row],[l]]-Table1[[#This Row],[x]])/Table1[[#This Row],[l]])</f>
        <v>631.57894736842104</v>
      </c>
      <c r="G15" s="3">
        <f>(((2*Table1[[#This Row],[x]])-Table1[[#This Row],[l]])*(Table1[[#This Row],[Load(p)]]*Table1[[#This Row],[c]]))/Table1[[#This Row],[l]]</f>
        <v>-13157.894736842105</v>
      </c>
      <c r="H15" s="3">
        <f>(((2*Table1[[#This Row],[x]])-Table1[[#This Row],[l]])*(Table1[[#This Row],[Load(p)]]))/Table1[[#This Row],[l]]</f>
        <v>-263.15789473684208</v>
      </c>
      <c r="I15" s="3">
        <f>Table1[[#This Row],[Load(p)]]*((Table1[[#This Row],[l]]-Table1[[#This Row],[x]])/Table1[[#This Row],[l]])</f>
        <v>631.57894736842104</v>
      </c>
      <c r="J15" s="3">
        <f>Table1[[#This Row],[Load(p)]]*(Table1[[#This Row],[x]]/Table1[[#This Row],[l]])</f>
        <v>368.4210526315789</v>
      </c>
      <c r="K15" s="3">
        <f>Table1[[#This Row],[BM]]/Table1[[#This Row],[Z]]</f>
        <v>-1.7543859649122806E-2</v>
      </c>
      <c r="L15" s="3">
        <f>Table1[[#This Row],[SF]]/Table1[[#This Row],[bd]]</f>
        <v>-1.7543859649122806E-2</v>
      </c>
      <c r="M15" s="3">
        <f t="shared" si="0"/>
        <v>-0.2408661139115181</v>
      </c>
      <c r="N15" s="3">
        <f>(Table1[[#This Row],[Shear Stress]])*SQRT(PI()*Table1[[#This Row],[a]])</f>
        <v>-0.2408661139115181</v>
      </c>
      <c r="O15" s="3">
        <f t="shared" ref="O15:O20" si="2">(2/PI())*(ATAN((M15/N15)))</f>
        <v>0.5</v>
      </c>
      <c r="P15" s="3">
        <v>50</v>
      </c>
      <c r="Q15" s="3">
        <v>300</v>
      </c>
      <c r="R15" s="3">
        <f>(Table1[[#This Row],[b]]*(Table1[[#This Row],[d]]^2))/6</f>
        <v>750000</v>
      </c>
      <c r="S15" s="3">
        <f>Table1[[#This Row],[b]]*Table1[[#This Row],[d]]</f>
        <v>15000</v>
      </c>
      <c r="T15" s="3">
        <v>1000</v>
      </c>
    </row>
    <row r="16" spans="1:20" ht="22.5" customHeight="1" x14ac:dyDescent="0.25">
      <c r="A16" s="3">
        <v>950</v>
      </c>
      <c r="B16" s="3">
        <v>350</v>
      </c>
      <c r="C16" s="3">
        <v>100</v>
      </c>
      <c r="D16" s="3">
        <v>60</v>
      </c>
      <c r="E16" s="3">
        <f>(Table1[[#This Row],[Load(p)]]*Table1[[#This Row],[x]])/Table1[[#This Row],[l]]</f>
        <v>368.42105263157896</v>
      </c>
      <c r="F16" s="3">
        <f>(Table1[[#This Row],[Load(p)]]*(Table1[[#This Row],[l]]-Table1[[#This Row],[x]])/Table1[[#This Row],[l]])</f>
        <v>631.57894736842104</v>
      </c>
      <c r="G16" s="3">
        <f>(((2*Table1[[#This Row],[x]])-Table1[[#This Row],[l]])*(Table1[[#This Row],[Load(p)]]*Table1[[#This Row],[c]]))/Table1[[#This Row],[l]]</f>
        <v>-26315.78947368421</v>
      </c>
      <c r="H16" s="3">
        <f>(((2*Table1[[#This Row],[x]])-Table1[[#This Row],[l]])*(Table1[[#This Row],[Load(p)]]))/Table1[[#This Row],[l]]</f>
        <v>-263.15789473684208</v>
      </c>
      <c r="I16" s="3">
        <f>Table1[[#This Row],[Load(p)]]*((Table1[[#This Row],[l]]-Table1[[#This Row],[x]])/Table1[[#This Row],[l]])</f>
        <v>631.57894736842104</v>
      </c>
      <c r="J16" s="3">
        <f>Table1[[#This Row],[Load(p)]]*(Table1[[#This Row],[x]]/Table1[[#This Row],[l]])</f>
        <v>368.4210526315789</v>
      </c>
      <c r="K16" s="3">
        <f>Table1[[#This Row],[BM]]/Table1[[#This Row],[Z]]</f>
        <v>-3.5087719298245612E-2</v>
      </c>
      <c r="L16" s="3">
        <f>Table1[[#This Row],[SF]]/Table1[[#This Row],[bd]]</f>
        <v>-1.7543859649122806E-2</v>
      </c>
      <c r="M16" s="3">
        <f t="shared" si="0"/>
        <v>-0.48173222782303621</v>
      </c>
      <c r="N16" s="3">
        <f>(Table1[[#This Row],[Shear Stress]])*SQRT(PI()*Table1[[#This Row],[a]])</f>
        <v>-0.2408661139115181</v>
      </c>
      <c r="O16" s="3">
        <f t="shared" si="2"/>
        <v>0.70483276469913347</v>
      </c>
      <c r="P16" s="3">
        <v>50</v>
      </c>
      <c r="Q16" s="3">
        <v>300</v>
      </c>
      <c r="R16" s="3">
        <f>(Table1[[#This Row],[b]]*(Table1[[#This Row],[d]]^2))/6</f>
        <v>750000</v>
      </c>
      <c r="S16" s="3">
        <f>Table1[[#This Row],[b]]*Table1[[#This Row],[d]]</f>
        <v>15000</v>
      </c>
      <c r="T16" s="3">
        <v>1000</v>
      </c>
    </row>
    <row r="17" spans="1:20" ht="22.5" customHeight="1" x14ac:dyDescent="0.25">
      <c r="A17" s="3">
        <v>950</v>
      </c>
      <c r="B17" s="3">
        <v>350</v>
      </c>
      <c r="C17" s="3">
        <v>150</v>
      </c>
      <c r="D17" s="3">
        <v>60</v>
      </c>
      <c r="E17" s="3">
        <f>(Table1[[#This Row],[Load(p)]]*Table1[[#This Row],[x]])/Table1[[#This Row],[l]]</f>
        <v>368.42105263157896</v>
      </c>
      <c r="F17" s="3">
        <f>(Table1[[#This Row],[Load(p)]]*(Table1[[#This Row],[l]]-Table1[[#This Row],[x]])/Table1[[#This Row],[l]])</f>
        <v>631.57894736842104</v>
      </c>
      <c r="G17" s="3">
        <f>(((2*Table1[[#This Row],[x]])-Table1[[#This Row],[l]])*(Table1[[#This Row],[Load(p)]]*Table1[[#This Row],[c]]))/Table1[[#This Row],[l]]</f>
        <v>-39473.684210526313</v>
      </c>
      <c r="H17" s="3">
        <f>(((2*Table1[[#This Row],[x]])-Table1[[#This Row],[l]])*(Table1[[#This Row],[Load(p)]]))/Table1[[#This Row],[l]]</f>
        <v>-263.15789473684208</v>
      </c>
      <c r="I17" s="3">
        <f>Table1[[#This Row],[Load(p)]]*((Table1[[#This Row],[l]]-Table1[[#This Row],[x]])/Table1[[#This Row],[l]])</f>
        <v>631.57894736842104</v>
      </c>
      <c r="J17" s="3">
        <f>Table1[[#This Row],[Load(p)]]*(Table1[[#This Row],[x]]/Table1[[#This Row],[l]])</f>
        <v>368.4210526315789</v>
      </c>
      <c r="K17" s="3">
        <f>Table1[[#This Row],[BM]]/Table1[[#This Row],[Z]]</f>
        <v>-5.2631578947368418E-2</v>
      </c>
      <c r="L17" s="3">
        <f>Table1[[#This Row],[SF]]/Table1[[#This Row],[bd]]</f>
        <v>-1.7543859649122806E-2</v>
      </c>
      <c r="M17" s="3">
        <f t="shared" si="0"/>
        <v>-0.72259834173455439</v>
      </c>
      <c r="N17" s="3">
        <f>(Table1[[#This Row],[Shear Stress]])*SQRT(PI()*Table1[[#This Row],[a]])</f>
        <v>-0.2408661139115181</v>
      </c>
      <c r="O17" s="3">
        <f t="shared" si="2"/>
        <v>0.79516723530086664</v>
      </c>
      <c r="P17" s="3">
        <v>50</v>
      </c>
      <c r="Q17" s="3">
        <v>300</v>
      </c>
      <c r="R17" s="3">
        <f>(Table1[[#This Row],[b]]*(Table1[[#This Row],[d]]^2))/6</f>
        <v>750000</v>
      </c>
      <c r="S17" s="3">
        <f>Table1[[#This Row],[b]]*Table1[[#This Row],[d]]</f>
        <v>15000</v>
      </c>
      <c r="T17" s="3">
        <v>1000</v>
      </c>
    </row>
    <row r="18" spans="1:20" ht="22.5" customHeight="1" x14ac:dyDescent="0.25">
      <c r="A18" s="3">
        <v>950</v>
      </c>
      <c r="B18" s="3">
        <v>350</v>
      </c>
      <c r="C18" s="3">
        <v>200</v>
      </c>
      <c r="D18" s="3">
        <v>60</v>
      </c>
      <c r="E18" s="3">
        <f>(Table1[[#This Row],[Load(p)]]*Table1[[#This Row],[x]])/Table1[[#This Row],[l]]</f>
        <v>368.42105263157896</v>
      </c>
      <c r="F18" s="3">
        <f>(Table1[[#This Row],[Load(p)]]*(Table1[[#This Row],[l]]-Table1[[#This Row],[x]])/Table1[[#This Row],[l]])</f>
        <v>631.57894736842104</v>
      </c>
      <c r="G18" s="3">
        <f>(((2*Table1[[#This Row],[x]])-Table1[[#This Row],[l]])*(Table1[[#This Row],[Load(p)]]*Table1[[#This Row],[c]]))/Table1[[#This Row],[l]]</f>
        <v>-52631.57894736842</v>
      </c>
      <c r="H18" s="3">
        <f>(((2*Table1[[#This Row],[x]])-Table1[[#This Row],[l]])*(Table1[[#This Row],[Load(p)]]))/Table1[[#This Row],[l]]</f>
        <v>-263.15789473684208</v>
      </c>
      <c r="I18" s="3">
        <f>Table1[[#This Row],[Load(p)]]*((Table1[[#This Row],[l]]-Table1[[#This Row],[x]])/Table1[[#This Row],[l]])</f>
        <v>631.57894736842104</v>
      </c>
      <c r="J18" s="3">
        <f>Table1[[#This Row],[Load(p)]]*(Table1[[#This Row],[x]]/Table1[[#This Row],[l]])</f>
        <v>368.4210526315789</v>
      </c>
      <c r="K18" s="3">
        <f>Table1[[#This Row],[BM]]/Table1[[#This Row],[Z]]</f>
        <v>-7.0175438596491224E-2</v>
      </c>
      <c r="L18" s="3">
        <f>Table1[[#This Row],[SF]]/Table1[[#This Row],[bd]]</f>
        <v>-1.7543859649122806E-2</v>
      </c>
      <c r="M18" s="3">
        <f t="shared" si="0"/>
        <v>-0.96346445564607242</v>
      </c>
      <c r="N18" s="3">
        <f>(Table1[[#This Row],[Shear Stress]])*SQRT(PI()*Table1[[#This Row],[a]])</f>
        <v>-0.2408661139115181</v>
      </c>
      <c r="O18" s="3">
        <f t="shared" si="2"/>
        <v>0.84404173924526149</v>
      </c>
      <c r="P18" s="3">
        <v>50</v>
      </c>
      <c r="Q18" s="3">
        <v>300</v>
      </c>
      <c r="R18" s="3">
        <f>(Table1[[#This Row],[b]]*(Table1[[#This Row],[d]]^2))/6</f>
        <v>750000</v>
      </c>
      <c r="S18" s="3">
        <f>Table1[[#This Row],[b]]*Table1[[#This Row],[d]]</f>
        <v>15000</v>
      </c>
      <c r="T18" s="3">
        <v>1000</v>
      </c>
    </row>
    <row r="19" spans="1:20" ht="22.5" customHeight="1" x14ac:dyDescent="0.25">
      <c r="A19" s="3">
        <v>950</v>
      </c>
      <c r="B19" s="3">
        <v>350</v>
      </c>
      <c r="C19" s="3">
        <v>250</v>
      </c>
      <c r="D19" s="3">
        <v>60</v>
      </c>
      <c r="E19" s="3">
        <f>(Table1[[#This Row],[Load(p)]]*Table1[[#This Row],[x]])/Table1[[#This Row],[l]]</f>
        <v>368.42105263157896</v>
      </c>
      <c r="F19" s="3">
        <f>(Table1[[#This Row],[Load(p)]]*(Table1[[#This Row],[l]]-Table1[[#This Row],[x]])/Table1[[#This Row],[l]])</f>
        <v>631.57894736842104</v>
      </c>
      <c r="G19" s="3">
        <f>(((2*Table1[[#This Row],[x]])-Table1[[#This Row],[l]])*(Table1[[#This Row],[Load(p)]]*Table1[[#This Row],[c]]))/Table1[[#This Row],[l]]</f>
        <v>-65789.473684210519</v>
      </c>
      <c r="H19" s="3">
        <f>(((2*Table1[[#This Row],[x]])-Table1[[#This Row],[l]])*(Table1[[#This Row],[Load(p)]]))/Table1[[#This Row],[l]]</f>
        <v>-263.15789473684208</v>
      </c>
      <c r="I19" s="3">
        <f>Table1[[#This Row],[Load(p)]]*((Table1[[#This Row],[l]]-Table1[[#This Row],[x]])/Table1[[#This Row],[l]])</f>
        <v>631.57894736842104</v>
      </c>
      <c r="J19" s="3">
        <f>Table1[[#This Row],[Load(p)]]*(Table1[[#This Row],[x]]/Table1[[#This Row],[l]])</f>
        <v>368.4210526315789</v>
      </c>
      <c r="K19" s="3">
        <f>Table1[[#This Row],[BM]]/Table1[[#This Row],[Z]]</f>
        <v>-8.771929824561403E-2</v>
      </c>
      <c r="L19" s="3">
        <f>Table1[[#This Row],[SF]]/Table1[[#This Row],[bd]]</f>
        <v>-1.7543859649122806E-2</v>
      </c>
      <c r="M19" s="3">
        <f t="shared" si="0"/>
        <v>-1.2043305695575905</v>
      </c>
      <c r="N19" s="3">
        <f>(Table1[[#This Row],[Shear Stress]])*SQRT(PI()*Table1[[#This Row],[a]])</f>
        <v>-0.2408661139115181</v>
      </c>
      <c r="O19" s="3">
        <f t="shared" si="2"/>
        <v>0.87433408362199772</v>
      </c>
      <c r="P19" s="3">
        <v>50</v>
      </c>
      <c r="Q19" s="3">
        <v>300</v>
      </c>
      <c r="R19" s="3">
        <f>(Table1[[#This Row],[b]]*(Table1[[#This Row],[d]]^2))/6</f>
        <v>750000</v>
      </c>
      <c r="S19" s="3">
        <f>Table1[[#This Row],[b]]*Table1[[#This Row],[d]]</f>
        <v>15000</v>
      </c>
      <c r="T19" s="3">
        <v>1000</v>
      </c>
    </row>
    <row r="20" spans="1:20" ht="22.5" customHeight="1" x14ac:dyDescent="0.25">
      <c r="A20" s="3">
        <v>950</v>
      </c>
      <c r="B20" s="3">
        <v>350</v>
      </c>
      <c r="C20" s="3">
        <v>300</v>
      </c>
      <c r="D20" s="3">
        <v>60</v>
      </c>
      <c r="E20" s="3">
        <f>(Table1[[#This Row],[Load(p)]]*Table1[[#This Row],[x]])/Table1[[#This Row],[l]]</f>
        <v>368.42105263157896</v>
      </c>
      <c r="F20" s="3">
        <f>(Table1[[#This Row],[Load(p)]]*(Table1[[#This Row],[l]]-Table1[[#This Row],[x]])/Table1[[#This Row],[l]])</f>
        <v>631.57894736842104</v>
      </c>
      <c r="G20" s="3">
        <f>(((2*Table1[[#This Row],[x]])-Table1[[#This Row],[l]])*(Table1[[#This Row],[Load(p)]]*Table1[[#This Row],[c]]))/Table1[[#This Row],[l]]</f>
        <v>-78947.368421052626</v>
      </c>
      <c r="H20" s="3">
        <f>(((2*Table1[[#This Row],[x]])-Table1[[#This Row],[l]])*(Table1[[#This Row],[Load(p)]]))/Table1[[#This Row],[l]]</f>
        <v>-263.15789473684208</v>
      </c>
      <c r="I20" s="3">
        <f>Table1[[#This Row],[Load(p)]]*((Table1[[#This Row],[l]]-Table1[[#This Row],[x]])/Table1[[#This Row],[l]])</f>
        <v>631.57894736842104</v>
      </c>
      <c r="J20" s="3">
        <f>Table1[[#This Row],[Load(p)]]*(Table1[[#This Row],[x]]/Table1[[#This Row],[l]])</f>
        <v>368.4210526315789</v>
      </c>
      <c r="K20" s="3">
        <f>Table1[[#This Row],[BM]]/Table1[[#This Row],[Z]]</f>
        <v>-0.10526315789473684</v>
      </c>
      <c r="L20" s="3">
        <f>Table1[[#This Row],[SF]]/Table1[[#This Row],[bd]]</f>
        <v>-1.7543859649122806E-2</v>
      </c>
      <c r="M20" s="3">
        <f t="shared" si="0"/>
        <v>-1.4451966834691088</v>
      </c>
      <c r="N20" s="3">
        <f>(Table1[[#This Row],[Shear Stress]])*SQRT(PI()*Table1[[#This Row],[a]])</f>
        <v>-0.2408661139115181</v>
      </c>
      <c r="O20" s="3">
        <f t="shared" si="2"/>
        <v>0.89486308657749325</v>
      </c>
      <c r="P20" s="3">
        <v>50</v>
      </c>
      <c r="Q20" s="3">
        <v>300</v>
      </c>
      <c r="R20" s="3">
        <f>(Table1[[#This Row],[b]]*(Table1[[#This Row],[d]]^2))/6</f>
        <v>750000</v>
      </c>
      <c r="S20" s="3">
        <f>Table1[[#This Row],[b]]*Table1[[#This Row],[d]]</f>
        <v>15000</v>
      </c>
      <c r="T20" s="3">
        <v>1000</v>
      </c>
    </row>
    <row r="21" spans="1:20" ht="22.5" customHeight="1" x14ac:dyDescent="0.25">
      <c r="A21" s="3">
        <v>900</v>
      </c>
      <c r="B21" s="3">
        <v>300</v>
      </c>
      <c r="C21" s="3">
        <v>0</v>
      </c>
      <c r="D21" s="3">
        <v>60</v>
      </c>
      <c r="E21" s="3">
        <f>(Table1[[#This Row],[Load(p)]]*Table1[[#This Row],[x]])/Table1[[#This Row],[l]]</f>
        <v>333.33333333333331</v>
      </c>
      <c r="F21" s="3">
        <f>(Table1[[#This Row],[Load(p)]]*(Table1[[#This Row],[l]]-Table1[[#This Row],[x]])/Table1[[#This Row],[l]])</f>
        <v>666.66666666666663</v>
      </c>
      <c r="G21" s="3">
        <f>(((2*Table1[[#This Row],[x]])-Table1[[#This Row],[l]])*(Table1[[#This Row],[Load(p)]]*Table1[[#This Row],[c]]))/Table1[[#This Row],[l]]</f>
        <v>0</v>
      </c>
      <c r="H21" s="3">
        <f>(((2*Table1[[#This Row],[x]])-Table1[[#This Row],[l]])*(Table1[[#This Row],[Load(p)]]))/Table1[[#This Row],[l]]</f>
        <v>-333.33333333333331</v>
      </c>
      <c r="I21" s="3">
        <f>Table1[[#This Row],[Load(p)]]*((Table1[[#This Row],[l]]-Table1[[#This Row],[x]])/Table1[[#This Row],[l]])</f>
        <v>666.66666666666663</v>
      </c>
      <c r="J21" s="3">
        <f>Table1[[#This Row],[Load(p)]]*(Table1[[#This Row],[x]]/Table1[[#This Row],[l]])</f>
        <v>333.33333333333331</v>
      </c>
      <c r="K21" s="3">
        <f>Table1[[#This Row],[BM]]/Table1[[#This Row],[Z]]</f>
        <v>0</v>
      </c>
      <c r="L21" s="3">
        <f>Table1[[#This Row],[SF]]/Table1[[#This Row],[bd]]</f>
        <v>-2.222222222222222E-2</v>
      </c>
      <c r="M21" s="3">
        <f t="shared" si="0"/>
        <v>0</v>
      </c>
      <c r="N21" s="3">
        <f>(Table1[[#This Row],[Shear Stress]])*SQRT(PI()*Table1[[#This Row],[a]])</f>
        <v>-0.30509707762125626</v>
      </c>
      <c r="O21" s="3">
        <f>(2/PI())*(ATAN((M21/N21)))</f>
        <v>0</v>
      </c>
      <c r="P21" s="3">
        <v>50</v>
      </c>
      <c r="Q21" s="3">
        <v>300</v>
      </c>
      <c r="R21" s="3">
        <f>(Table1[[#This Row],[b]]*(Table1[[#This Row],[d]]^2))/6</f>
        <v>750000</v>
      </c>
      <c r="S21" s="3">
        <f>Table1[[#This Row],[b]]*Table1[[#This Row],[d]]</f>
        <v>15000</v>
      </c>
      <c r="T21" s="3">
        <v>1000</v>
      </c>
    </row>
    <row r="22" spans="1:20" ht="22.5" customHeight="1" x14ac:dyDescent="0.25">
      <c r="A22" s="3">
        <v>900</v>
      </c>
      <c r="B22" s="3">
        <v>300</v>
      </c>
      <c r="C22" s="3">
        <v>50</v>
      </c>
      <c r="D22" s="3">
        <v>60</v>
      </c>
      <c r="E22" s="3">
        <f>(Table1[[#This Row],[Load(p)]]*Table1[[#This Row],[x]])/Table1[[#This Row],[l]]</f>
        <v>333.33333333333331</v>
      </c>
      <c r="F22" s="3">
        <f>(Table1[[#This Row],[Load(p)]]*(Table1[[#This Row],[l]]-Table1[[#This Row],[x]])/Table1[[#This Row],[l]])</f>
        <v>666.66666666666663</v>
      </c>
      <c r="G22" s="3">
        <f>(((2*Table1[[#This Row],[x]])-Table1[[#This Row],[l]])*(Table1[[#This Row],[Load(p)]]*Table1[[#This Row],[c]]))/Table1[[#This Row],[l]]</f>
        <v>-16666.666666666668</v>
      </c>
      <c r="H22" s="3">
        <f>(((2*Table1[[#This Row],[x]])-Table1[[#This Row],[l]])*(Table1[[#This Row],[Load(p)]]))/Table1[[#This Row],[l]]</f>
        <v>-333.33333333333331</v>
      </c>
      <c r="I22" s="3">
        <f>Table1[[#This Row],[Load(p)]]*((Table1[[#This Row],[l]]-Table1[[#This Row],[x]])/Table1[[#This Row],[l]])</f>
        <v>666.66666666666663</v>
      </c>
      <c r="J22" s="3">
        <f>Table1[[#This Row],[Load(p)]]*(Table1[[#This Row],[x]]/Table1[[#This Row],[l]])</f>
        <v>333.33333333333331</v>
      </c>
      <c r="K22" s="3">
        <f>Table1[[#This Row],[BM]]/Table1[[#This Row],[Z]]</f>
        <v>-2.2222222222222223E-2</v>
      </c>
      <c r="L22" s="3">
        <f>Table1[[#This Row],[SF]]/Table1[[#This Row],[bd]]</f>
        <v>-2.222222222222222E-2</v>
      </c>
      <c r="M22" s="3">
        <f t="shared" si="0"/>
        <v>-0.30509707762125632</v>
      </c>
      <c r="N22" s="3">
        <f>(Table1[[#This Row],[Shear Stress]])*SQRT(PI()*Table1[[#This Row],[a]])</f>
        <v>-0.30509707762125626</v>
      </c>
      <c r="O22" s="3">
        <f t="shared" ref="O22:O27" si="3">(2/PI())*(ATAN((M22/N22)))</f>
        <v>0.50000000000000011</v>
      </c>
      <c r="P22" s="3">
        <v>50</v>
      </c>
      <c r="Q22" s="3">
        <v>300</v>
      </c>
      <c r="R22" s="3">
        <f>(Table1[[#This Row],[b]]*(Table1[[#This Row],[d]]^2))/6</f>
        <v>750000</v>
      </c>
      <c r="S22" s="3">
        <f>Table1[[#This Row],[b]]*Table1[[#This Row],[d]]</f>
        <v>15000</v>
      </c>
      <c r="T22" s="3">
        <v>1000</v>
      </c>
    </row>
    <row r="23" spans="1:20" ht="22.5" customHeight="1" x14ac:dyDescent="0.25">
      <c r="A23" s="3">
        <v>900</v>
      </c>
      <c r="B23" s="3">
        <v>300</v>
      </c>
      <c r="C23" s="3">
        <v>100</v>
      </c>
      <c r="D23" s="3">
        <v>60</v>
      </c>
      <c r="E23" s="3">
        <f>(Table1[[#This Row],[Load(p)]]*Table1[[#This Row],[x]])/Table1[[#This Row],[l]]</f>
        <v>333.33333333333331</v>
      </c>
      <c r="F23" s="3">
        <f>(Table1[[#This Row],[Load(p)]]*(Table1[[#This Row],[l]]-Table1[[#This Row],[x]])/Table1[[#This Row],[l]])</f>
        <v>666.66666666666663</v>
      </c>
      <c r="G23" s="3">
        <f>(((2*Table1[[#This Row],[x]])-Table1[[#This Row],[l]])*(Table1[[#This Row],[Load(p)]]*Table1[[#This Row],[c]]))/Table1[[#This Row],[l]]</f>
        <v>-33333.333333333336</v>
      </c>
      <c r="H23" s="3">
        <f>(((2*Table1[[#This Row],[x]])-Table1[[#This Row],[l]])*(Table1[[#This Row],[Load(p)]]))/Table1[[#This Row],[l]]</f>
        <v>-333.33333333333331</v>
      </c>
      <c r="I23" s="3">
        <f>Table1[[#This Row],[Load(p)]]*((Table1[[#This Row],[l]]-Table1[[#This Row],[x]])/Table1[[#This Row],[l]])</f>
        <v>666.66666666666663</v>
      </c>
      <c r="J23" s="3">
        <f>Table1[[#This Row],[Load(p)]]*(Table1[[#This Row],[x]]/Table1[[#This Row],[l]])</f>
        <v>333.33333333333331</v>
      </c>
      <c r="K23" s="3">
        <f>Table1[[#This Row],[BM]]/Table1[[#This Row],[Z]]</f>
        <v>-4.4444444444444446E-2</v>
      </c>
      <c r="L23" s="3">
        <f>Table1[[#This Row],[SF]]/Table1[[#This Row],[bd]]</f>
        <v>-2.222222222222222E-2</v>
      </c>
      <c r="M23" s="3">
        <f t="shared" si="0"/>
        <v>-0.61019415524251264</v>
      </c>
      <c r="N23" s="3">
        <f>(Table1[[#This Row],[Shear Stress]])*SQRT(PI()*Table1[[#This Row],[a]])</f>
        <v>-0.30509707762125626</v>
      </c>
      <c r="O23" s="3">
        <f t="shared" si="3"/>
        <v>0.70483276469913358</v>
      </c>
      <c r="P23" s="3">
        <v>50</v>
      </c>
      <c r="Q23" s="3">
        <v>300</v>
      </c>
      <c r="R23" s="3">
        <f>(Table1[[#This Row],[b]]*(Table1[[#This Row],[d]]^2))/6</f>
        <v>750000</v>
      </c>
      <c r="S23" s="3">
        <f>Table1[[#This Row],[b]]*Table1[[#This Row],[d]]</f>
        <v>15000</v>
      </c>
      <c r="T23" s="3">
        <v>1000</v>
      </c>
    </row>
    <row r="24" spans="1:20" ht="22.5" customHeight="1" x14ac:dyDescent="0.25">
      <c r="A24" s="3">
        <v>900</v>
      </c>
      <c r="B24" s="3">
        <v>300</v>
      </c>
      <c r="C24" s="3">
        <v>150</v>
      </c>
      <c r="D24" s="3">
        <v>60</v>
      </c>
      <c r="E24" s="3">
        <f>(Table1[[#This Row],[Load(p)]]*Table1[[#This Row],[x]])/Table1[[#This Row],[l]]</f>
        <v>333.33333333333331</v>
      </c>
      <c r="F24" s="3">
        <f>(Table1[[#This Row],[Load(p)]]*(Table1[[#This Row],[l]]-Table1[[#This Row],[x]])/Table1[[#This Row],[l]])</f>
        <v>666.66666666666663</v>
      </c>
      <c r="G24" s="3">
        <f>(((2*Table1[[#This Row],[x]])-Table1[[#This Row],[l]])*(Table1[[#This Row],[Load(p)]]*Table1[[#This Row],[c]]))/Table1[[#This Row],[l]]</f>
        <v>-50000</v>
      </c>
      <c r="H24" s="3">
        <f>(((2*Table1[[#This Row],[x]])-Table1[[#This Row],[l]])*(Table1[[#This Row],[Load(p)]]))/Table1[[#This Row],[l]]</f>
        <v>-333.33333333333331</v>
      </c>
      <c r="I24" s="3">
        <f>Table1[[#This Row],[Load(p)]]*((Table1[[#This Row],[l]]-Table1[[#This Row],[x]])/Table1[[#This Row],[l]])</f>
        <v>666.66666666666663</v>
      </c>
      <c r="J24" s="3">
        <f>Table1[[#This Row],[Load(p)]]*(Table1[[#This Row],[x]]/Table1[[#This Row],[l]])</f>
        <v>333.33333333333331</v>
      </c>
      <c r="K24" s="3">
        <f>Table1[[#This Row],[BM]]/Table1[[#This Row],[Z]]</f>
        <v>-6.6666666666666666E-2</v>
      </c>
      <c r="L24" s="3">
        <f>Table1[[#This Row],[SF]]/Table1[[#This Row],[bd]]</f>
        <v>-2.222222222222222E-2</v>
      </c>
      <c r="M24" s="3">
        <f t="shared" si="0"/>
        <v>-0.9152912328637689</v>
      </c>
      <c r="N24" s="3">
        <f>(Table1[[#This Row],[Shear Stress]])*SQRT(PI()*Table1[[#This Row],[a]])</f>
        <v>-0.30509707762125626</v>
      </c>
      <c r="O24" s="3">
        <f t="shared" si="3"/>
        <v>0.79516723530086664</v>
      </c>
      <c r="P24" s="3">
        <v>50</v>
      </c>
      <c r="Q24" s="3">
        <v>300</v>
      </c>
      <c r="R24" s="3">
        <f>(Table1[[#This Row],[b]]*(Table1[[#This Row],[d]]^2))/6</f>
        <v>750000</v>
      </c>
      <c r="S24" s="3">
        <f>Table1[[#This Row],[b]]*Table1[[#This Row],[d]]</f>
        <v>15000</v>
      </c>
      <c r="T24" s="3">
        <v>1000</v>
      </c>
    </row>
    <row r="25" spans="1:20" ht="22.5" customHeight="1" x14ac:dyDescent="0.25">
      <c r="A25" s="3">
        <v>900</v>
      </c>
      <c r="B25" s="3">
        <v>300</v>
      </c>
      <c r="C25" s="3">
        <v>200</v>
      </c>
      <c r="D25" s="3">
        <v>60</v>
      </c>
      <c r="E25" s="3">
        <f>(Table1[[#This Row],[Load(p)]]*Table1[[#This Row],[x]])/Table1[[#This Row],[l]]</f>
        <v>333.33333333333331</v>
      </c>
      <c r="F25" s="3">
        <f>(Table1[[#This Row],[Load(p)]]*(Table1[[#This Row],[l]]-Table1[[#This Row],[x]])/Table1[[#This Row],[l]])</f>
        <v>666.66666666666663</v>
      </c>
      <c r="G25" s="3">
        <f>(((2*Table1[[#This Row],[x]])-Table1[[#This Row],[l]])*(Table1[[#This Row],[Load(p)]]*Table1[[#This Row],[c]]))/Table1[[#This Row],[l]]</f>
        <v>-66666.666666666672</v>
      </c>
      <c r="H25" s="3">
        <f>(((2*Table1[[#This Row],[x]])-Table1[[#This Row],[l]])*(Table1[[#This Row],[Load(p)]]))/Table1[[#This Row],[l]]</f>
        <v>-333.33333333333331</v>
      </c>
      <c r="I25" s="3">
        <f>Table1[[#This Row],[Load(p)]]*((Table1[[#This Row],[l]]-Table1[[#This Row],[x]])/Table1[[#This Row],[l]])</f>
        <v>666.66666666666663</v>
      </c>
      <c r="J25" s="3">
        <f>Table1[[#This Row],[Load(p)]]*(Table1[[#This Row],[x]]/Table1[[#This Row],[l]])</f>
        <v>333.33333333333331</v>
      </c>
      <c r="K25" s="3">
        <f>Table1[[#This Row],[BM]]/Table1[[#This Row],[Z]]</f>
        <v>-8.8888888888888892E-2</v>
      </c>
      <c r="L25" s="3">
        <f>Table1[[#This Row],[SF]]/Table1[[#This Row],[bd]]</f>
        <v>-2.222222222222222E-2</v>
      </c>
      <c r="M25" s="3">
        <f t="shared" si="0"/>
        <v>-1.2203883104850253</v>
      </c>
      <c r="N25" s="3">
        <f>(Table1[[#This Row],[Shear Stress]])*SQRT(PI()*Table1[[#This Row],[a]])</f>
        <v>-0.30509707762125626</v>
      </c>
      <c r="O25" s="3">
        <f t="shared" si="3"/>
        <v>0.84404173924526149</v>
      </c>
      <c r="P25" s="3">
        <v>50</v>
      </c>
      <c r="Q25" s="3">
        <v>300</v>
      </c>
      <c r="R25" s="3">
        <f>(Table1[[#This Row],[b]]*(Table1[[#This Row],[d]]^2))/6</f>
        <v>750000</v>
      </c>
      <c r="S25" s="3">
        <f>Table1[[#This Row],[b]]*Table1[[#This Row],[d]]</f>
        <v>15000</v>
      </c>
      <c r="T25" s="3">
        <v>1000</v>
      </c>
    </row>
    <row r="26" spans="1:20" ht="22.5" customHeight="1" x14ac:dyDescent="0.25">
      <c r="A26" s="3">
        <v>900</v>
      </c>
      <c r="B26" s="3">
        <v>300</v>
      </c>
      <c r="C26" s="3">
        <v>250</v>
      </c>
      <c r="D26" s="3">
        <v>60</v>
      </c>
      <c r="E26" s="3">
        <f>(Table1[[#This Row],[Load(p)]]*Table1[[#This Row],[x]])/Table1[[#This Row],[l]]</f>
        <v>333.33333333333331</v>
      </c>
      <c r="F26" s="3">
        <f>(Table1[[#This Row],[Load(p)]]*(Table1[[#This Row],[l]]-Table1[[#This Row],[x]])/Table1[[#This Row],[l]])</f>
        <v>666.66666666666663</v>
      </c>
      <c r="G26" s="3">
        <f>(((2*Table1[[#This Row],[x]])-Table1[[#This Row],[l]])*(Table1[[#This Row],[Load(p)]]*Table1[[#This Row],[c]]))/Table1[[#This Row],[l]]</f>
        <v>-83333.333333333328</v>
      </c>
      <c r="H26" s="3">
        <f>(((2*Table1[[#This Row],[x]])-Table1[[#This Row],[l]])*(Table1[[#This Row],[Load(p)]]))/Table1[[#This Row],[l]]</f>
        <v>-333.33333333333331</v>
      </c>
      <c r="I26" s="3">
        <f>Table1[[#This Row],[Load(p)]]*((Table1[[#This Row],[l]]-Table1[[#This Row],[x]])/Table1[[#This Row],[l]])</f>
        <v>666.66666666666663</v>
      </c>
      <c r="J26" s="3">
        <f>Table1[[#This Row],[Load(p)]]*(Table1[[#This Row],[x]]/Table1[[#This Row],[l]])</f>
        <v>333.33333333333331</v>
      </c>
      <c r="K26" s="3">
        <f>Table1[[#This Row],[BM]]/Table1[[#This Row],[Z]]</f>
        <v>-0.1111111111111111</v>
      </c>
      <c r="L26" s="3">
        <f>Table1[[#This Row],[SF]]/Table1[[#This Row],[bd]]</f>
        <v>-2.222222222222222E-2</v>
      </c>
      <c r="M26" s="3">
        <f t="shared" si="0"/>
        <v>-1.5254853881062813</v>
      </c>
      <c r="N26" s="3">
        <f>(Table1[[#This Row],[Shear Stress]])*SQRT(PI()*Table1[[#This Row],[a]])</f>
        <v>-0.30509707762125626</v>
      </c>
      <c r="O26" s="3">
        <f t="shared" si="3"/>
        <v>0.87433408362199772</v>
      </c>
      <c r="P26" s="3">
        <v>50</v>
      </c>
      <c r="Q26" s="3">
        <v>300</v>
      </c>
      <c r="R26" s="3">
        <f>(Table1[[#This Row],[b]]*(Table1[[#This Row],[d]]^2))/6</f>
        <v>750000</v>
      </c>
      <c r="S26" s="3">
        <f>Table1[[#This Row],[b]]*Table1[[#This Row],[d]]</f>
        <v>15000</v>
      </c>
      <c r="T26" s="3">
        <v>1000</v>
      </c>
    </row>
    <row r="27" spans="1:20" ht="22.5" customHeight="1" x14ac:dyDescent="0.25">
      <c r="A27" s="3">
        <v>850</v>
      </c>
      <c r="B27" s="3">
        <v>250</v>
      </c>
      <c r="C27" s="3">
        <v>0</v>
      </c>
      <c r="D27" s="3">
        <v>60</v>
      </c>
      <c r="E27" s="3">
        <f>(Table1[[#This Row],[Load(p)]]*Table1[[#This Row],[x]])/Table1[[#This Row],[l]]</f>
        <v>294.11764705882354</v>
      </c>
      <c r="F27" s="3">
        <f>(Table1[[#This Row],[Load(p)]]*(Table1[[#This Row],[l]]-Table1[[#This Row],[x]])/Table1[[#This Row],[l]])</f>
        <v>705.88235294117646</v>
      </c>
      <c r="G27" s="3">
        <f>(((2*Table1[[#This Row],[x]])-Table1[[#This Row],[l]])*(Table1[[#This Row],[Load(p)]]*Table1[[#This Row],[c]]))/Table1[[#This Row],[l]]</f>
        <v>0</v>
      </c>
      <c r="H27" s="3">
        <f>(((2*Table1[[#This Row],[x]])-Table1[[#This Row],[l]])*(Table1[[#This Row],[Load(p)]]))/Table1[[#This Row],[l]]</f>
        <v>-411.76470588235293</v>
      </c>
      <c r="I27" s="3">
        <f>Table1[[#This Row],[Load(p)]]*((Table1[[#This Row],[l]]-Table1[[#This Row],[x]])/Table1[[#This Row],[l]])</f>
        <v>705.88235294117646</v>
      </c>
      <c r="J27" s="3">
        <f>Table1[[#This Row],[Load(p)]]*(Table1[[#This Row],[x]]/Table1[[#This Row],[l]])</f>
        <v>294.11764705882354</v>
      </c>
      <c r="K27" s="3">
        <f>Table1[[#This Row],[BM]]/Table1[[#This Row],[Z]]</f>
        <v>0</v>
      </c>
      <c r="L27" s="3">
        <f>Table1[[#This Row],[SF]]/Table1[[#This Row],[bd]]</f>
        <v>-2.7450980392156862E-2</v>
      </c>
      <c r="M27" s="3">
        <f t="shared" si="0"/>
        <v>0</v>
      </c>
      <c r="N27" s="3">
        <f>(Table1[[#This Row],[Shear Stress]])*SQRT(PI()*Table1[[#This Row],[a]])</f>
        <v>-0.37688462529684602</v>
      </c>
      <c r="O27" s="3">
        <f t="shared" si="3"/>
        <v>0</v>
      </c>
      <c r="P27" s="3">
        <v>50</v>
      </c>
      <c r="Q27" s="3">
        <v>300</v>
      </c>
      <c r="R27" s="3">
        <f>(Table1[[#This Row],[b]]*(Table1[[#This Row],[d]]^2))/6</f>
        <v>750000</v>
      </c>
      <c r="S27" s="3">
        <f>Table1[[#This Row],[b]]*Table1[[#This Row],[d]]</f>
        <v>15000</v>
      </c>
      <c r="T27" s="3">
        <v>1000</v>
      </c>
    </row>
    <row r="28" spans="1:20" ht="22.5" customHeight="1" x14ac:dyDescent="0.25">
      <c r="A28" s="3">
        <v>850</v>
      </c>
      <c r="B28" s="3">
        <v>250</v>
      </c>
      <c r="C28" s="3">
        <v>50</v>
      </c>
      <c r="D28" s="3">
        <v>60</v>
      </c>
      <c r="E28" s="3">
        <f>(Table1[[#This Row],[Load(p)]]*Table1[[#This Row],[x]])/Table1[[#This Row],[l]]</f>
        <v>294.11764705882354</v>
      </c>
      <c r="F28" s="3">
        <f>(Table1[[#This Row],[Load(p)]]*(Table1[[#This Row],[l]]-Table1[[#This Row],[x]])/Table1[[#This Row],[l]])</f>
        <v>705.88235294117646</v>
      </c>
      <c r="G28" s="3">
        <f>(((2*Table1[[#This Row],[x]])-Table1[[#This Row],[l]])*(Table1[[#This Row],[Load(p)]]*Table1[[#This Row],[c]]))/Table1[[#This Row],[l]]</f>
        <v>-20588.235294117647</v>
      </c>
      <c r="H28" s="3">
        <f>(((2*Table1[[#This Row],[x]])-Table1[[#This Row],[l]])*(Table1[[#This Row],[Load(p)]]))/Table1[[#This Row],[l]]</f>
        <v>-411.76470588235293</v>
      </c>
      <c r="I28" s="3">
        <f>Table1[[#This Row],[Load(p)]]*((Table1[[#This Row],[l]]-Table1[[#This Row],[x]])/Table1[[#This Row],[l]])</f>
        <v>705.88235294117646</v>
      </c>
      <c r="J28" s="3">
        <f>Table1[[#This Row],[Load(p)]]*(Table1[[#This Row],[x]]/Table1[[#This Row],[l]])</f>
        <v>294.11764705882354</v>
      </c>
      <c r="K28" s="3">
        <f>Table1[[#This Row],[BM]]/Table1[[#This Row],[Z]]</f>
        <v>-2.7450980392156862E-2</v>
      </c>
      <c r="L28" s="3">
        <f>Table1[[#This Row],[SF]]/Table1[[#This Row],[bd]]</f>
        <v>-2.7450980392156862E-2</v>
      </c>
      <c r="M28" s="3">
        <f t="shared" si="0"/>
        <v>-0.37688462529684602</v>
      </c>
      <c r="N28" s="3">
        <f>(Table1[[#This Row],[Shear Stress]])*SQRT(PI()*Table1[[#This Row],[a]])</f>
        <v>-0.37688462529684602</v>
      </c>
      <c r="O28" s="3">
        <f t="shared" ref="O28:O31" si="4">(2/PI())*(ATAN((M28/N28)))</f>
        <v>0.5</v>
      </c>
      <c r="P28" s="3">
        <v>50</v>
      </c>
      <c r="Q28" s="3">
        <v>300</v>
      </c>
      <c r="R28" s="3">
        <f>(Table1[[#This Row],[b]]*(Table1[[#This Row],[d]]^2))/6</f>
        <v>750000</v>
      </c>
      <c r="S28" s="3">
        <f>Table1[[#This Row],[b]]*Table1[[#This Row],[d]]</f>
        <v>15000</v>
      </c>
      <c r="T28" s="3">
        <v>1000</v>
      </c>
    </row>
    <row r="29" spans="1:20" ht="22.5" customHeight="1" x14ac:dyDescent="0.25">
      <c r="A29" s="3">
        <v>850</v>
      </c>
      <c r="B29" s="3">
        <v>250</v>
      </c>
      <c r="C29" s="3">
        <v>100</v>
      </c>
      <c r="D29" s="3">
        <v>60</v>
      </c>
      <c r="E29" s="3">
        <f>(Table1[[#This Row],[Load(p)]]*Table1[[#This Row],[x]])/Table1[[#This Row],[l]]</f>
        <v>294.11764705882354</v>
      </c>
      <c r="F29" s="3">
        <f>(Table1[[#This Row],[Load(p)]]*(Table1[[#This Row],[l]]-Table1[[#This Row],[x]])/Table1[[#This Row],[l]])</f>
        <v>705.88235294117646</v>
      </c>
      <c r="G29" s="3">
        <f>(((2*Table1[[#This Row],[x]])-Table1[[#This Row],[l]])*(Table1[[#This Row],[Load(p)]]*Table1[[#This Row],[c]]))/Table1[[#This Row],[l]]</f>
        <v>-41176.470588235294</v>
      </c>
      <c r="H29" s="3">
        <f>(((2*Table1[[#This Row],[x]])-Table1[[#This Row],[l]])*(Table1[[#This Row],[Load(p)]]))/Table1[[#This Row],[l]]</f>
        <v>-411.76470588235293</v>
      </c>
      <c r="I29" s="3">
        <f>Table1[[#This Row],[Load(p)]]*((Table1[[#This Row],[l]]-Table1[[#This Row],[x]])/Table1[[#This Row],[l]])</f>
        <v>705.88235294117646</v>
      </c>
      <c r="J29" s="3">
        <f>Table1[[#This Row],[Load(p)]]*(Table1[[#This Row],[x]]/Table1[[#This Row],[l]])</f>
        <v>294.11764705882354</v>
      </c>
      <c r="K29" s="3">
        <f>Table1[[#This Row],[BM]]/Table1[[#This Row],[Z]]</f>
        <v>-5.4901960784313725E-2</v>
      </c>
      <c r="L29" s="3">
        <f>Table1[[#This Row],[SF]]/Table1[[#This Row],[bd]]</f>
        <v>-2.7450980392156862E-2</v>
      </c>
      <c r="M29" s="3">
        <f t="shared" si="0"/>
        <v>-0.75376925059369204</v>
      </c>
      <c r="N29" s="3">
        <f>(Table1[[#This Row],[Shear Stress]])*SQRT(PI()*Table1[[#This Row],[a]])</f>
        <v>-0.37688462529684602</v>
      </c>
      <c r="O29" s="3">
        <f t="shared" si="4"/>
        <v>0.70483276469913347</v>
      </c>
      <c r="P29" s="3">
        <v>50</v>
      </c>
      <c r="Q29" s="3">
        <v>300</v>
      </c>
      <c r="R29" s="3">
        <f>(Table1[[#This Row],[b]]*(Table1[[#This Row],[d]]^2))/6</f>
        <v>750000</v>
      </c>
      <c r="S29" s="3">
        <f>Table1[[#This Row],[b]]*Table1[[#This Row],[d]]</f>
        <v>15000</v>
      </c>
      <c r="T29" s="3">
        <v>1000</v>
      </c>
    </row>
    <row r="30" spans="1:20" ht="22.5" customHeight="1" x14ac:dyDescent="0.25">
      <c r="A30" s="3">
        <v>850</v>
      </c>
      <c r="B30" s="3">
        <v>250</v>
      </c>
      <c r="C30" s="3">
        <v>150</v>
      </c>
      <c r="D30" s="3">
        <v>60</v>
      </c>
      <c r="E30" s="3">
        <f>(Table1[[#This Row],[Load(p)]]*Table1[[#This Row],[x]])/Table1[[#This Row],[l]]</f>
        <v>294.11764705882354</v>
      </c>
      <c r="F30" s="3">
        <f>(Table1[[#This Row],[Load(p)]]*(Table1[[#This Row],[l]]-Table1[[#This Row],[x]])/Table1[[#This Row],[l]])</f>
        <v>705.88235294117646</v>
      </c>
      <c r="G30" s="3">
        <f>(((2*Table1[[#This Row],[x]])-Table1[[#This Row],[l]])*(Table1[[#This Row],[Load(p)]]*Table1[[#This Row],[c]]))/Table1[[#This Row],[l]]</f>
        <v>-61764.705882352944</v>
      </c>
      <c r="H30" s="3">
        <f>(((2*Table1[[#This Row],[x]])-Table1[[#This Row],[l]])*(Table1[[#This Row],[Load(p)]]))/Table1[[#This Row],[l]]</f>
        <v>-411.76470588235293</v>
      </c>
      <c r="I30" s="3">
        <f>Table1[[#This Row],[Load(p)]]*((Table1[[#This Row],[l]]-Table1[[#This Row],[x]])/Table1[[#This Row],[l]])</f>
        <v>705.88235294117646</v>
      </c>
      <c r="J30" s="3">
        <f>Table1[[#This Row],[Load(p)]]*(Table1[[#This Row],[x]]/Table1[[#This Row],[l]])</f>
        <v>294.11764705882354</v>
      </c>
      <c r="K30" s="3">
        <f>Table1[[#This Row],[BM]]/Table1[[#This Row],[Z]]</f>
        <v>-8.2352941176470587E-2</v>
      </c>
      <c r="L30" s="3">
        <f>Table1[[#This Row],[SF]]/Table1[[#This Row],[bd]]</f>
        <v>-2.7450980392156862E-2</v>
      </c>
      <c r="M30" s="3">
        <f t="shared" si="0"/>
        <v>-1.130653875890538</v>
      </c>
      <c r="N30" s="3">
        <f>(Table1[[#This Row],[Shear Stress]])*SQRT(PI()*Table1[[#This Row],[a]])</f>
        <v>-0.37688462529684602</v>
      </c>
      <c r="O30" s="3">
        <f t="shared" si="4"/>
        <v>0.79516723530086664</v>
      </c>
      <c r="P30" s="3">
        <v>50</v>
      </c>
      <c r="Q30" s="3">
        <v>300</v>
      </c>
      <c r="R30" s="3">
        <f>(Table1[[#This Row],[b]]*(Table1[[#This Row],[d]]^2))/6</f>
        <v>750000</v>
      </c>
      <c r="S30" s="3">
        <f>Table1[[#This Row],[b]]*Table1[[#This Row],[d]]</f>
        <v>15000</v>
      </c>
      <c r="T30" s="3">
        <v>1000</v>
      </c>
    </row>
    <row r="31" spans="1:20" ht="22.5" customHeight="1" x14ac:dyDescent="0.25">
      <c r="A31" s="3">
        <v>850</v>
      </c>
      <c r="B31" s="3">
        <v>250</v>
      </c>
      <c r="C31" s="3">
        <v>200</v>
      </c>
      <c r="D31" s="3">
        <v>60</v>
      </c>
      <c r="E31" s="3">
        <f>(Table1[[#This Row],[Load(p)]]*Table1[[#This Row],[x]])/Table1[[#This Row],[l]]</f>
        <v>294.11764705882354</v>
      </c>
      <c r="F31" s="3">
        <f>(Table1[[#This Row],[Load(p)]]*(Table1[[#This Row],[l]]-Table1[[#This Row],[x]])/Table1[[#This Row],[l]])</f>
        <v>705.88235294117646</v>
      </c>
      <c r="G31" s="3">
        <f>(((2*Table1[[#This Row],[x]])-Table1[[#This Row],[l]])*(Table1[[#This Row],[Load(p)]]*Table1[[#This Row],[c]]))/Table1[[#This Row],[l]]</f>
        <v>-82352.941176470587</v>
      </c>
      <c r="H31" s="3">
        <f>(((2*Table1[[#This Row],[x]])-Table1[[#This Row],[l]])*(Table1[[#This Row],[Load(p)]]))/Table1[[#This Row],[l]]</f>
        <v>-411.76470588235293</v>
      </c>
      <c r="I31" s="3">
        <f>Table1[[#This Row],[Load(p)]]*((Table1[[#This Row],[l]]-Table1[[#This Row],[x]])/Table1[[#This Row],[l]])</f>
        <v>705.88235294117646</v>
      </c>
      <c r="J31" s="3">
        <f>Table1[[#This Row],[Load(p)]]*(Table1[[#This Row],[x]]/Table1[[#This Row],[l]])</f>
        <v>294.11764705882354</v>
      </c>
      <c r="K31" s="3">
        <f>Table1[[#This Row],[BM]]/Table1[[#This Row],[Z]]</f>
        <v>-0.10980392156862745</v>
      </c>
      <c r="L31" s="3">
        <f>Table1[[#This Row],[SF]]/Table1[[#This Row],[bd]]</f>
        <v>-2.7450980392156862E-2</v>
      </c>
      <c r="M31" s="3">
        <f t="shared" si="0"/>
        <v>-1.5075385011873841</v>
      </c>
      <c r="N31" s="3">
        <f>(Table1[[#This Row],[Shear Stress]])*SQRT(PI()*Table1[[#This Row],[a]])</f>
        <v>-0.37688462529684602</v>
      </c>
      <c r="O31" s="3">
        <f t="shared" si="4"/>
        <v>0.84404173924526149</v>
      </c>
      <c r="P31" s="3">
        <v>50</v>
      </c>
      <c r="Q31" s="3">
        <v>300</v>
      </c>
      <c r="R31" s="3">
        <f>(Table1[[#This Row],[b]]*(Table1[[#This Row],[d]]^2))/6</f>
        <v>750000</v>
      </c>
      <c r="S31" s="3">
        <f>Table1[[#This Row],[b]]*Table1[[#This Row],[d]]</f>
        <v>15000</v>
      </c>
      <c r="T31" s="3">
        <v>1000</v>
      </c>
    </row>
    <row r="32" spans="1:20" ht="22.5" customHeight="1" x14ac:dyDescent="0.25">
      <c r="A32" s="3">
        <v>800</v>
      </c>
      <c r="B32" s="3">
        <v>200</v>
      </c>
      <c r="C32" s="3">
        <v>0</v>
      </c>
      <c r="D32" s="3">
        <v>60</v>
      </c>
      <c r="E32" s="3">
        <f>(Table1[[#This Row],[Load(p)]]*Table1[[#This Row],[x]])/Table1[[#This Row],[l]]</f>
        <v>250</v>
      </c>
      <c r="F32" s="3">
        <f>(Table1[[#This Row],[Load(p)]]*(Table1[[#This Row],[l]]-Table1[[#This Row],[x]])/Table1[[#This Row],[l]])</f>
        <v>750</v>
      </c>
      <c r="G32" s="3">
        <f>(((2*Table1[[#This Row],[x]])-Table1[[#This Row],[l]])*(Table1[[#This Row],[Load(p)]]*Table1[[#This Row],[c]]))/Table1[[#This Row],[l]]</f>
        <v>0</v>
      </c>
      <c r="H32" s="3">
        <f>(((2*Table1[[#This Row],[x]])-Table1[[#This Row],[l]])*(Table1[[#This Row],[Load(p)]]))/Table1[[#This Row],[l]]</f>
        <v>-500</v>
      </c>
      <c r="I32" s="3">
        <f>Table1[[#This Row],[Load(p)]]*((Table1[[#This Row],[l]]-Table1[[#This Row],[x]])/Table1[[#This Row],[l]])</f>
        <v>750</v>
      </c>
      <c r="J32" s="3">
        <f>Table1[[#This Row],[Load(p)]]*(Table1[[#This Row],[x]]/Table1[[#This Row],[l]])</f>
        <v>250</v>
      </c>
      <c r="K32" s="3">
        <f>Table1[[#This Row],[BM]]/Table1[[#This Row],[Z]]</f>
        <v>0</v>
      </c>
      <c r="L32" s="3">
        <f>Table1[[#This Row],[SF]]/Table1[[#This Row],[bd]]</f>
        <v>-3.3333333333333333E-2</v>
      </c>
      <c r="M32" s="3">
        <f t="shared" si="0"/>
        <v>0</v>
      </c>
      <c r="N32" s="3">
        <f>(Table1[[#This Row],[Shear Stress]])*SQRT(PI()*Table1[[#This Row],[a]])</f>
        <v>-0.45764561643188445</v>
      </c>
      <c r="O32" s="3">
        <f t="shared" ref="O32:O57" si="5">(2/PI())*(ATAN((M32/N32)))</f>
        <v>0</v>
      </c>
      <c r="P32" s="3">
        <v>50</v>
      </c>
      <c r="Q32" s="3">
        <v>300</v>
      </c>
      <c r="R32" s="3">
        <f>(Table1[[#This Row],[b]]*(Table1[[#This Row],[d]]^2))/6</f>
        <v>750000</v>
      </c>
      <c r="S32" s="3">
        <f>Table1[[#This Row],[b]]*Table1[[#This Row],[d]]</f>
        <v>15000</v>
      </c>
      <c r="T32" s="3">
        <v>1000</v>
      </c>
    </row>
    <row r="33" spans="1:20" ht="22.5" customHeight="1" x14ac:dyDescent="0.25">
      <c r="A33" s="3">
        <v>800</v>
      </c>
      <c r="B33" s="3">
        <v>200</v>
      </c>
      <c r="C33" s="3">
        <v>50</v>
      </c>
      <c r="D33" s="3">
        <v>60</v>
      </c>
      <c r="E33" s="3">
        <f>(Table1[[#This Row],[Load(p)]]*Table1[[#This Row],[x]])/Table1[[#This Row],[l]]</f>
        <v>250</v>
      </c>
      <c r="F33" s="3">
        <f>(Table1[[#This Row],[Load(p)]]*(Table1[[#This Row],[l]]-Table1[[#This Row],[x]])/Table1[[#This Row],[l]])</f>
        <v>750</v>
      </c>
      <c r="G33" s="3">
        <f>(((2*Table1[[#This Row],[x]])-Table1[[#This Row],[l]])*(Table1[[#This Row],[Load(p)]]*Table1[[#This Row],[c]]))/Table1[[#This Row],[l]]</f>
        <v>-25000</v>
      </c>
      <c r="H33" s="3">
        <f>(((2*Table1[[#This Row],[x]])-Table1[[#This Row],[l]])*(Table1[[#This Row],[Load(p)]]))/Table1[[#This Row],[l]]</f>
        <v>-500</v>
      </c>
      <c r="I33" s="3">
        <f>Table1[[#This Row],[Load(p)]]*((Table1[[#This Row],[l]]-Table1[[#This Row],[x]])/Table1[[#This Row],[l]])</f>
        <v>750</v>
      </c>
      <c r="J33" s="3">
        <f>Table1[[#This Row],[Load(p)]]*(Table1[[#This Row],[x]]/Table1[[#This Row],[l]])</f>
        <v>250</v>
      </c>
      <c r="K33" s="3">
        <f>Table1[[#This Row],[BM]]/Table1[[#This Row],[Z]]</f>
        <v>-3.3333333333333333E-2</v>
      </c>
      <c r="L33" s="3">
        <f>Table1[[#This Row],[SF]]/Table1[[#This Row],[bd]]</f>
        <v>-3.3333333333333333E-2</v>
      </c>
      <c r="M33" s="3">
        <f t="shared" si="0"/>
        <v>-0.45764561643188445</v>
      </c>
      <c r="N33" s="3">
        <f>(Table1[[#This Row],[Shear Stress]])*SQRT(PI()*Table1[[#This Row],[a]])</f>
        <v>-0.45764561643188445</v>
      </c>
      <c r="O33" s="3">
        <f t="shared" si="5"/>
        <v>0.5</v>
      </c>
      <c r="P33" s="3">
        <v>50</v>
      </c>
      <c r="Q33" s="3">
        <v>300</v>
      </c>
      <c r="R33" s="3">
        <f>(Table1[[#This Row],[b]]*(Table1[[#This Row],[d]]^2))/6</f>
        <v>750000</v>
      </c>
      <c r="S33" s="3">
        <f>Table1[[#This Row],[b]]*Table1[[#This Row],[d]]</f>
        <v>15000</v>
      </c>
      <c r="T33" s="3">
        <v>1000</v>
      </c>
    </row>
    <row r="34" spans="1:20" ht="22.5" customHeight="1" x14ac:dyDescent="0.25">
      <c r="A34" s="3">
        <v>800</v>
      </c>
      <c r="B34" s="3">
        <v>200</v>
      </c>
      <c r="C34" s="3">
        <v>100</v>
      </c>
      <c r="D34" s="3">
        <v>60</v>
      </c>
      <c r="E34" s="3">
        <f>(Table1[[#This Row],[Load(p)]]*Table1[[#This Row],[x]])/Table1[[#This Row],[l]]</f>
        <v>250</v>
      </c>
      <c r="F34" s="3">
        <f>(Table1[[#This Row],[Load(p)]]*(Table1[[#This Row],[l]]-Table1[[#This Row],[x]])/Table1[[#This Row],[l]])</f>
        <v>750</v>
      </c>
      <c r="G34" s="3">
        <f>(((2*Table1[[#This Row],[x]])-Table1[[#This Row],[l]])*(Table1[[#This Row],[Load(p)]]*Table1[[#This Row],[c]]))/Table1[[#This Row],[l]]</f>
        <v>-50000</v>
      </c>
      <c r="H34" s="3">
        <f>(((2*Table1[[#This Row],[x]])-Table1[[#This Row],[l]])*(Table1[[#This Row],[Load(p)]]))/Table1[[#This Row],[l]]</f>
        <v>-500</v>
      </c>
      <c r="I34" s="3">
        <f>Table1[[#This Row],[Load(p)]]*((Table1[[#This Row],[l]]-Table1[[#This Row],[x]])/Table1[[#This Row],[l]])</f>
        <v>750</v>
      </c>
      <c r="J34" s="3">
        <f>Table1[[#This Row],[Load(p)]]*(Table1[[#This Row],[x]]/Table1[[#This Row],[l]])</f>
        <v>250</v>
      </c>
      <c r="K34" s="3">
        <f>Table1[[#This Row],[BM]]/Table1[[#This Row],[Z]]</f>
        <v>-6.6666666666666666E-2</v>
      </c>
      <c r="L34" s="3">
        <f>Table1[[#This Row],[SF]]/Table1[[#This Row],[bd]]</f>
        <v>-3.3333333333333333E-2</v>
      </c>
      <c r="M34" s="3">
        <f t="shared" si="0"/>
        <v>-0.9152912328637689</v>
      </c>
      <c r="N34" s="3">
        <f>(Table1[[#This Row],[Shear Stress]])*SQRT(PI()*Table1[[#This Row],[a]])</f>
        <v>-0.45764561643188445</v>
      </c>
      <c r="O34" s="3">
        <f t="shared" si="5"/>
        <v>0.70483276469913347</v>
      </c>
      <c r="P34" s="3">
        <v>50</v>
      </c>
      <c r="Q34" s="3">
        <v>300</v>
      </c>
      <c r="R34" s="3">
        <f>(Table1[[#This Row],[b]]*(Table1[[#This Row],[d]]^2))/6</f>
        <v>750000</v>
      </c>
      <c r="S34" s="3">
        <f>Table1[[#This Row],[b]]*Table1[[#This Row],[d]]</f>
        <v>15000</v>
      </c>
      <c r="T34" s="3">
        <v>1000</v>
      </c>
    </row>
    <row r="35" spans="1:20" ht="22.5" customHeight="1" x14ac:dyDescent="0.25">
      <c r="A35" s="3">
        <v>800</v>
      </c>
      <c r="B35" s="3">
        <v>200</v>
      </c>
      <c r="C35" s="3">
        <v>150</v>
      </c>
      <c r="D35" s="3">
        <v>60</v>
      </c>
      <c r="E35" s="3">
        <f>(Table1[[#This Row],[Load(p)]]*Table1[[#This Row],[x]])/Table1[[#This Row],[l]]</f>
        <v>250</v>
      </c>
      <c r="F35" s="3">
        <f>(Table1[[#This Row],[Load(p)]]*(Table1[[#This Row],[l]]-Table1[[#This Row],[x]])/Table1[[#This Row],[l]])</f>
        <v>750</v>
      </c>
      <c r="G35" s="3">
        <f>(((2*Table1[[#This Row],[x]])-Table1[[#This Row],[l]])*(Table1[[#This Row],[Load(p)]]*Table1[[#This Row],[c]]))/Table1[[#This Row],[l]]</f>
        <v>-75000</v>
      </c>
      <c r="H35" s="3">
        <f>(((2*Table1[[#This Row],[x]])-Table1[[#This Row],[l]])*(Table1[[#This Row],[Load(p)]]))/Table1[[#This Row],[l]]</f>
        <v>-500</v>
      </c>
      <c r="I35" s="3">
        <f>Table1[[#This Row],[Load(p)]]*((Table1[[#This Row],[l]]-Table1[[#This Row],[x]])/Table1[[#This Row],[l]])</f>
        <v>750</v>
      </c>
      <c r="J35" s="3">
        <f>Table1[[#This Row],[Load(p)]]*(Table1[[#This Row],[x]]/Table1[[#This Row],[l]])</f>
        <v>250</v>
      </c>
      <c r="K35" s="3">
        <f>Table1[[#This Row],[BM]]/Table1[[#This Row],[Z]]</f>
        <v>-0.1</v>
      </c>
      <c r="L35" s="3">
        <f>Table1[[#This Row],[SF]]/Table1[[#This Row],[bd]]</f>
        <v>-3.3333333333333333E-2</v>
      </c>
      <c r="M35" s="3">
        <f t="shared" si="0"/>
        <v>-1.3729368492956535</v>
      </c>
      <c r="N35" s="3">
        <f>(Table1[[#This Row],[Shear Stress]])*SQRT(PI()*Table1[[#This Row],[a]])</f>
        <v>-0.45764561643188445</v>
      </c>
      <c r="O35" s="3">
        <f t="shared" si="5"/>
        <v>0.79516723530086664</v>
      </c>
      <c r="P35" s="3">
        <v>50</v>
      </c>
      <c r="Q35" s="3">
        <v>300</v>
      </c>
      <c r="R35" s="3">
        <f>(Table1[[#This Row],[b]]*(Table1[[#This Row],[d]]^2))/6</f>
        <v>750000</v>
      </c>
      <c r="S35" s="3">
        <f>Table1[[#This Row],[b]]*Table1[[#This Row],[d]]</f>
        <v>15000</v>
      </c>
      <c r="T35" s="3">
        <v>1000</v>
      </c>
    </row>
    <row r="36" spans="1:20" ht="22.5" customHeight="1" x14ac:dyDescent="0.25">
      <c r="A36" s="3">
        <v>750</v>
      </c>
      <c r="B36" s="3">
        <v>150</v>
      </c>
      <c r="C36" s="3">
        <v>0</v>
      </c>
      <c r="D36" s="3">
        <v>60</v>
      </c>
      <c r="E36" s="3">
        <f>(Table1[[#This Row],[Load(p)]]*Table1[[#This Row],[x]])/Table1[[#This Row],[l]]</f>
        <v>200</v>
      </c>
      <c r="F36" s="3">
        <f>(Table1[[#This Row],[Load(p)]]*(Table1[[#This Row],[l]]-Table1[[#This Row],[x]])/Table1[[#This Row],[l]])</f>
        <v>800</v>
      </c>
      <c r="G36" s="3">
        <f>(((2*Table1[[#This Row],[x]])-Table1[[#This Row],[l]])*(Table1[[#This Row],[Load(p)]]*Table1[[#This Row],[c]]))/Table1[[#This Row],[l]]</f>
        <v>0</v>
      </c>
      <c r="H36" s="3">
        <f>(((2*Table1[[#This Row],[x]])-Table1[[#This Row],[l]])*(Table1[[#This Row],[Load(p)]]))/Table1[[#This Row],[l]]</f>
        <v>-600</v>
      </c>
      <c r="I36" s="3">
        <f>Table1[[#This Row],[Load(p)]]*((Table1[[#This Row],[l]]-Table1[[#This Row],[x]])/Table1[[#This Row],[l]])</f>
        <v>800</v>
      </c>
      <c r="J36" s="3">
        <f>Table1[[#This Row],[Load(p)]]*(Table1[[#This Row],[x]]/Table1[[#This Row],[l]])</f>
        <v>200</v>
      </c>
      <c r="K36" s="3">
        <f>Table1[[#This Row],[BM]]/Table1[[#This Row],[Z]]</f>
        <v>0</v>
      </c>
      <c r="L36" s="3">
        <f>Table1[[#This Row],[SF]]/Table1[[#This Row],[bd]]</f>
        <v>-0.04</v>
      </c>
      <c r="M36" s="3">
        <f t="shared" si="0"/>
        <v>0</v>
      </c>
      <c r="N36" s="3">
        <f>(Table1[[#This Row],[Shear Stress]])*SQRT(PI()*Table1[[#This Row],[a]])</f>
        <v>-0.54917473971826136</v>
      </c>
      <c r="O36" s="3">
        <f t="shared" si="5"/>
        <v>0</v>
      </c>
      <c r="P36" s="3">
        <v>50</v>
      </c>
      <c r="Q36" s="3">
        <v>300</v>
      </c>
      <c r="R36" s="3">
        <f>(Table1[[#This Row],[b]]*(Table1[[#This Row],[d]]^2))/6</f>
        <v>750000</v>
      </c>
      <c r="S36" s="3">
        <f>Table1[[#This Row],[b]]*Table1[[#This Row],[d]]</f>
        <v>15000</v>
      </c>
      <c r="T36" s="3">
        <v>1000</v>
      </c>
    </row>
    <row r="37" spans="1:20" ht="22.5" customHeight="1" x14ac:dyDescent="0.25">
      <c r="A37" s="3">
        <v>750</v>
      </c>
      <c r="B37" s="3">
        <v>150</v>
      </c>
      <c r="C37" s="3">
        <v>50</v>
      </c>
      <c r="D37" s="3">
        <v>60</v>
      </c>
      <c r="E37" s="3">
        <f>(Table1[[#This Row],[Load(p)]]*Table1[[#This Row],[x]])/Table1[[#This Row],[l]]</f>
        <v>200</v>
      </c>
      <c r="F37" s="3">
        <f>(Table1[[#This Row],[Load(p)]]*(Table1[[#This Row],[l]]-Table1[[#This Row],[x]])/Table1[[#This Row],[l]])</f>
        <v>800</v>
      </c>
      <c r="G37" s="3">
        <f>(((2*Table1[[#This Row],[x]])-Table1[[#This Row],[l]])*(Table1[[#This Row],[Load(p)]]*Table1[[#This Row],[c]]))/Table1[[#This Row],[l]]</f>
        <v>-30000</v>
      </c>
      <c r="H37" s="3">
        <f>(((2*Table1[[#This Row],[x]])-Table1[[#This Row],[l]])*(Table1[[#This Row],[Load(p)]]))/Table1[[#This Row],[l]]</f>
        <v>-600</v>
      </c>
      <c r="I37" s="3">
        <f>Table1[[#This Row],[Load(p)]]*((Table1[[#This Row],[l]]-Table1[[#This Row],[x]])/Table1[[#This Row],[l]])</f>
        <v>800</v>
      </c>
      <c r="J37" s="3">
        <f>Table1[[#This Row],[Load(p)]]*(Table1[[#This Row],[x]]/Table1[[#This Row],[l]])</f>
        <v>200</v>
      </c>
      <c r="K37" s="3">
        <f>Table1[[#This Row],[BM]]/Table1[[#This Row],[Z]]</f>
        <v>-0.04</v>
      </c>
      <c r="L37" s="3">
        <f>Table1[[#This Row],[SF]]/Table1[[#This Row],[bd]]</f>
        <v>-0.04</v>
      </c>
      <c r="M37" s="3">
        <f t="shared" si="0"/>
        <v>-0.54917473971826136</v>
      </c>
      <c r="N37" s="3">
        <f>(Table1[[#This Row],[Shear Stress]])*SQRT(PI()*Table1[[#This Row],[a]])</f>
        <v>-0.54917473971826136</v>
      </c>
      <c r="O37" s="3">
        <f t="shared" si="5"/>
        <v>0.5</v>
      </c>
      <c r="P37" s="3">
        <v>50</v>
      </c>
      <c r="Q37" s="3">
        <v>300</v>
      </c>
      <c r="R37" s="3">
        <f>(Table1[[#This Row],[b]]*(Table1[[#This Row],[d]]^2))/6</f>
        <v>750000</v>
      </c>
      <c r="S37" s="3">
        <f>Table1[[#This Row],[b]]*Table1[[#This Row],[d]]</f>
        <v>15000</v>
      </c>
      <c r="T37" s="3">
        <v>1000</v>
      </c>
    </row>
    <row r="38" spans="1:20" ht="22.5" customHeight="1" x14ac:dyDescent="0.25">
      <c r="A38" s="3">
        <v>750</v>
      </c>
      <c r="B38" s="3">
        <v>150</v>
      </c>
      <c r="C38" s="3">
        <v>100</v>
      </c>
      <c r="D38" s="3">
        <v>60</v>
      </c>
      <c r="E38" s="3">
        <f>(Table1[[#This Row],[Load(p)]]*Table1[[#This Row],[x]])/Table1[[#This Row],[l]]</f>
        <v>200</v>
      </c>
      <c r="F38" s="3">
        <f>(Table1[[#This Row],[Load(p)]]*(Table1[[#This Row],[l]]-Table1[[#This Row],[x]])/Table1[[#This Row],[l]])</f>
        <v>800</v>
      </c>
      <c r="G38" s="3">
        <f>(((2*Table1[[#This Row],[x]])-Table1[[#This Row],[l]])*(Table1[[#This Row],[Load(p)]]*Table1[[#This Row],[c]]))/Table1[[#This Row],[l]]</f>
        <v>-60000</v>
      </c>
      <c r="H38" s="3">
        <f>(((2*Table1[[#This Row],[x]])-Table1[[#This Row],[l]])*(Table1[[#This Row],[Load(p)]]))/Table1[[#This Row],[l]]</f>
        <v>-600</v>
      </c>
      <c r="I38" s="3">
        <f>Table1[[#This Row],[Load(p)]]*((Table1[[#This Row],[l]]-Table1[[#This Row],[x]])/Table1[[#This Row],[l]])</f>
        <v>800</v>
      </c>
      <c r="J38" s="3">
        <f>Table1[[#This Row],[Load(p)]]*(Table1[[#This Row],[x]]/Table1[[#This Row],[l]])</f>
        <v>200</v>
      </c>
      <c r="K38" s="3">
        <f>Table1[[#This Row],[BM]]/Table1[[#This Row],[Z]]</f>
        <v>-0.08</v>
      </c>
      <c r="L38" s="3">
        <f>Table1[[#This Row],[SF]]/Table1[[#This Row],[bd]]</f>
        <v>-0.04</v>
      </c>
      <c r="M38" s="3">
        <f t="shared" ref="M38:M69" si="6">(K38)*SQRT(PI()*D38)</f>
        <v>-1.0983494794365227</v>
      </c>
      <c r="N38" s="3">
        <f>(Table1[[#This Row],[Shear Stress]])*SQRT(PI()*Table1[[#This Row],[a]])</f>
        <v>-0.54917473971826136</v>
      </c>
      <c r="O38" s="3">
        <f t="shared" si="5"/>
        <v>0.70483276469913347</v>
      </c>
      <c r="P38" s="3">
        <v>50</v>
      </c>
      <c r="Q38" s="3">
        <v>300</v>
      </c>
      <c r="R38" s="3">
        <f>(Table1[[#This Row],[b]]*(Table1[[#This Row],[d]]^2))/6</f>
        <v>750000</v>
      </c>
      <c r="S38" s="3">
        <f>Table1[[#This Row],[b]]*Table1[[#This Row],[d]]</f>
        <v>15000</v>
      </c>
      <c r="T38" s="3">
        <v>1000</v>
      </c>
    </row>
    <row r="39" spans="1:20" ht="22.5" customHeight="1" x14ac:dyDescent="0.25">
      <c r="A39" s="3">
        <v>700</v>
      </c>
      <c r="B39" s="3">
        <v>100</v>
      </c>
      <c r="C39" s="3">
        <v>0</v>
      </c>
      <c r="D39" s="3">
        <v>60</v>
      </c>
      <c r="E39" s="3">
        <f>(Table1[[#This Row],[Load(p)]]*Table1[[#This Row],[x]])/Table1[[#This Row],[l]]</f>
        <v>142.85714285714286</v>
      </c>
      <c r="F39" s="3">
        <f>(Table1[[#This Row],[Load(p)]]*(Table1[[#This Row],[l]]-Table1[[#This Row],[x]])/Table1[[#This Row],[l]])</f>
        <v>857.14285714285711</v>
      </c>
      <c r="G39" s="3">
        <f>(((2*Table1[[#This Row],[x]])-Table1[[#This Row],[l]])*(Table1[[#This Row],[Load(p)]]*Table1[[#This Row],[c]]))/Table1[[#This Row],[l]]</f>
        <v>0</v>
      </c>
      <c r="H39" s="3">
        <f>(((2*Table1[[#This Row],[x]])-Table1[[#This Row],[l]])*(Table1[[#This Row],[Load(p)]]))/Table1[[#This Row],[l]]</f>
        <v>-714.28571428571433</v>
      </c>
      <c r="I39" s="3">
        <f>Table1[[#This Row],[Load(p)]]*((Table1[[#This Row],[l]]-Table1[[#This Row],[x]])/Table1[[#This Row],[l]])</f>
        <v>857.14285714285711</v>
      </c>
      <c r="J39" s="3">
        <f>Table1[[#This Row],[Load(p)]]*(Table1[[#This Row],[x]]/Table1[[#This Row],[l]])</f>
        <v>142.85714285714286</v>
      </c>
      <c r="K39" s="3">
        <f>Table1[[#This Row],[BM]]/Table1[[#This Row],[Z]]</f>
        <v>0</v>
      </c>
      <c r="L39" s="3">
        <f>Table1[[#This Row],[SF]]/Table1[[#This Row],[bd]]</f>
        <v>-4.7619047619047623E-2</v>
      </c>
      <c r="M39" s="3">
        <f t="shared" si="6"/>
        <v>0</v>
      </c>
      <c r="N39" s="3">
        <f>(Table1[[#This Row],[Shear Stress]])*SQRT(PI()*Table1[[#This Row],[a]])</f>
        <v>-0.65377945204554921</v>
      </c>
      <c r="O39" s="3">
        <f t="shared" si="5"/>
        <v>0</v>
      </c>
      <c r="P39" s="3">
        <v>50</v>
      </c>
      <c r="Q39" s="3">
        <v>300</v>
      </c>
      <c r="R39" s="3">
        <f>(Table1[[#This Row],[b]]*(Table1[[#This Row],[d]]^2))/6</f>
        <v>750000</v>
      </c>
      <c r="S39" s="3">
        <f>Table1[[#This Row],[b]]*Table1[[#This Row],[d]]</f>
        <v>15000</v>
      </c>
      <c r="T39" s="3">
        <v>1000</v>
      </c>
    </row>
    <row r="40" spans="1:20" ht="22.5" customHeight="1" x14ac:dyDescent="0.25">
      <c r="A40" s="3">
        <v>700</v>
      </c>
      <c r="B40" s="3">
        <v>100</v>
      </c>
      <c r="C40" s="3">
        <v>50</v>
      </c>
      <c r="D40" s="3">
        <v>60</v>
      </c>
      <c r="E40" s="3">
        <f>(Table1[[#This Row],[Load(p)]]*Table1[[#This Row],[x]])/Table1[[#This Row],[l]]</f>
        <v>142.85714285714286</v>
      </c>
      <c r="F40" s="3">
        <f>(Table1[[#This Row],[Load(p)]]*(Table1[[#This Row],[l]]-Table1[[#This Row],[x]])/Table1[[#This Row],[l]])</f>
        <v>857.14285714285711</v>
      </c>
      <c r="G40" s="3">
        <f>(((2*Table1[[#This Row],[x]])-Table1[[#This Row],[l]])*(Table1[[#This Row],[Load(p)]]*Table1[[#This Row],[c]]))/Table1[[#This Row],[l]]</f>
        <v>-35714.285714285717</v>
      </c>
      <c r="H40" s="3">
        <f>(((2*Table1[[#This Row],[x]])-Table1[[#This Row],[l]])*(Table1[[#This Row],[Load(p)]]))/Table1[[#This Row],[l]]</f>
        <v>-714.28571428571433</v>
      </c>
      <c r="I40" s="3">
        <f>Table1[[#This Row],[Load(p)]]*((Table1[[#This Row],[l]]-Table1[[#This Row],[x]])/Table1[[#This Row],[l]])</f>
        <v>857.14285714285711</v>
      </c>
      <c r="J40" s="3">
        <f>Table1[[#This Row],[Load(p)]]*(Table1[[#This Row],[x]]/Table1[[#This Row],[l]])</f>
        <v>142.85714285714286</v>
      </c>
      <c r="K40" s="3">
        <f>Table1[[#This Row],[BM]]/Table1[[#This Row],[Z]]</f>
        <v>-4.7619047619047623E-2</v>
      </c>
      <c r="L40" s="3">
        <f>Table1[[#This Row],[SF]]/Table1[[#This Row],[bd]]</f>
        <v>-4.7619047619047623E-2</v>
      </c>
      <c r="M40" s="3">
        <f t="shared" si="6"/>
        <v>-0.65377945204554921</v>
      </c>
      <c r="N40" s="3">
        <f>(Table1[[#This Row],[Shear Stress]])*SQRT(PI()*Table1[[#This Row],[a]])</f>
        <v>-0.65377945204554921</v>
      </c>
      <c r="O40" s="3">
        <f t="shared" si="5"/>
        <v>0.5</v>
      </c>
      <c r="P40" s="3">
        <v>50</v>
      </c>
      <c r="Q40" s="3">
        <v>300</v>
      </c>
      <c r="R40" s="3">
        <f>(Table1[[#This Row],[b]]*(Table1[[#This Row],[d]]^2))/6</f>
        <v>750000</v>
      </c>
      <c r="S40" s="3">
        <f>Table1[[#This Row],[b]]*Table1[[#This Row],[d]]</f>
        <v>15000</v>
      </c>
      <c r="T40" s="3">
        <v>1000</v>
      </c>
    </row>
    <row r="41" spans="1:20" ht="22.5" customHeight="1" x14ac:dyDescent="0.25">
      <c r="A41" s="3">
        <v>650</v>
      </c>
      <c r="B41" s="3">
        <v>50</v>
      </c>
      <c r="C41" s="3">
        <v>0</v>
      </c>
      <c r="D41" s="3">
        <v>60</v>
      </c>
      <c r="E41" s="3">
        <f>(Table1[[#This Row],[Load(p)]]*Table1[[#This Row],[x]])/Table1[[#This Row],[l]]</f>
        <v>76.92307692307692</v>
      </c>
      <c r="F41" s="3">
        <f>(Table1[[#This Row],[Load(p)]]*(Table1[[#This Row],[l]]-Table1[[#This Row],[x]])/Table1[[#This Row],[l]])</f>
        <v>923.07692307692309</v>
      </c>
      <c r="G41" s="3">
        <f>(((2*Table1[[#This Row],[x]])-Table1[[#This Row],[l]])*(Table1[[#This Row],[Load(p)]]*Table1[[#This Row],[c]]))/Table1[[#This Row],[l]]</f>
        <v>0</v>
      </c>
      <c r="H41" s="3">
        <f>(((2*Table1[[#This Row],[x]])-Table1[[#This Row],[l]])*(Table1[[#This Row],[Load(p)]]))/Table1[[#This Row],[l]]</f>
        <v>-846.15384615384619</v>
      </c>
      <c r="I41" s="3">
        <f>Table1[[#This Row],[Load(p)]]*((Table1[[#This Row],[l]]-Table1[[#This Row],[x]])/Table1[[#This Row],[l]])</f>
        <v>923.07692307692309</v>
      </c>
      <c r="J41" s="3">
        <f>Table1[[#This Row],[Load(p)]]*(Table1[[#This Row],[x]]/Table1[[#This Row],[l]])</f>
        <v>76.923076923076934</v>
      </c>
      <c r="K41" s="3">
        <f>Table1[[#This Row],[BM]]/Table1[[#This Row],[Z]]</f>
        <v>0</v>
      </c>
      <c r="L41" s="3">
        <f>Table1[[#This Row],[SF]]/Table1[[#This Row],[bd]]</f>
        <v>-5.6410256410256411E-2</v>
      </c>
      <c r="M41" s="3">
        <f t="shared" si="6"/>
        <v>0</v>
      </c>
      <c r="N41" s="3">
        <f>(Table1[[#This Row],[Shear Stress]])*SQRT(PI()*Table1[[#This Row],[a]])</f>
        <v>-0.77447719703857365</v>
      </c>
      <c r="O41" s="3">
        <f t="shared" si="5"/>
        <v>0</v>
      </c>
      <c r="P41" s="3">
        <v>50</v>
      </c>
      <c r="Q41" s="3">
        <v>300</v>
      </c>
      <c r="R41" s="3">
        <f>(Table1[[#This Row],[b]]*(Table1[[#This Row],[d]]^2))/6</f>
        <v>750000</v>
      </c>
      <c r="S41" s="3">
        <f>Table1[[#This Row],[b]]*Table1[[#This Row],[d]]</f>
        <v>15000</v>
      </c>
      <c r="T41" s="3">
        <v>1000</v>
      </c>
    </row>
    <row r="42" spans="1:20" ht="22.5" customHeight="1" x14ac:dyDescent="0.25">
      <c r="A42" s="4">
        <v>650</v>
      </c>
      <c r="B42" s="4">
        <v>50</v>
      </c>
      <c r="C42" s="4">
        <v>0</v>
      </c>
      <c r="D42" s="4">
        <v>60</v>
      </c>
      <c r="E42" s="4">
        <f>(Table1[[#This Row],[Load(p)]]*Table1[[#This Row],[x]])/Table1[[#This Row],[l]]</f>
        <v>76.92307692307692</v>
      </c>
      <c r="F42" s="4">
        <f>(Table1[[#This Row],[Load(p)]]*(Table1[[#This Row],[l]]-Table1[[#This Row],[x]])/Table1[[#This Row],[l]])</f>
        <v>923.07692307692309</v>
      </c>
      <c r="G42" s="4">
        <f>(((2*Table1[[#This Row],[x]])-Table1[[#This Row],[l]])*(Table1[[#This Row],[Load(p)]]*Table1[[#This Row],[c]]))/Table1[[#This Row],[l]]</f>
        <v>0</v>
      </c>
      <c r="H42" s="4">
        <f>(((2*Table1[[#This Row],[x]])-Table1[[#This Row],[l]])*(Table1[[#This Row],[Load(p)]]))/Table1[[#This Row],[l]]</f>
        <v>-846.15384615384619</v>
      </c>
      <c r="I42" s="4">
        <f>Table1[[#This Row],[Load(p)]]*((Table1[[#This Row],[l]]-Table1[[#This Row],[x]])/Table1[[#This Row],[l]])</f>
        <v>923.07692307692309</v>
      </c>
      <c r="J42" s="4">
        <f>Table1[[#This Row],[Load(p)]]*(Table1[[#This Row],[x]]/Table1[[#This Row],[l]])</f>
        <v>76.923076923076934</v>
      </c>
      <c r="K42" s="4">
        <f>Table1[[#This Row],[BM]]/Table1[[#This Row],[Z]]</f>
        <v>0</v>
      </c>
      <c r="L42" s="4">
        <f>Table1[[#This Row],[SF]]/Table1[[#This Row],[bd]]</f>
        <v>-5.6410256410256411E-2</v>
      </c>
      <c r="M42" s="4">
        <f t="shared" si="6"/>
        <v>0</v>
      </c>
      <c r="N42" s="4">
        <f>(Table1[[#This Row],[Shear Stress]])*SQRT(PI()*Table1[[#This Row],[a]])</f>
        <v>-0.77447719703857365</v>
      </c>
      <c r="O42" s="4">
        <f t="shared" si="5"/>
        <v>0</v>
      </c>
      <c r="P42" s="4">
        <v>50</v>
      </c>
      <c r="Q42" s="4">
        <v>300</v>
      </c>
      <c r="R42" s="4">
        <f>(Table1[[#This Row],[b]]*(Table1[[#This Row],[d]]^2))/6</f>
        <v>750000</v>
      </c>
      <c r="S42" s="4">
        <f>Table1[[#This Row],[b]]*Table1[[#This Row],[d]]</f>
        <v>15000</v>
      </c>
      <c r="T42" s="4">
        <v>1000</v>
      </c>
    </row>
    <row r="43" spans="1:20" x14ac:dyDescent="0.25">
      <c r="A43" s="5">
        <v>1000</v>
      </c>
      <c r="B43" s="5">
        <v>400</v>
      </c>
      <c r="C43" s="5">
        <v>20</v>
      </c>
      <c r="D43" s="5">
        <v>60</v>
      </c>
      <c r="E43" s="5">
        <f>(Table1[[#This Row],[Load(p)]]*Table1[[#This Row],[x]])/Table1[[#This Row],[l]]</f>
        <v>400</v>
      </c>
      <c r="F43" s="5">
        <f>(Table1[[#This Row],[Load(p)]]*(Table1[[#This Row],[l]]-Table1[[#This Row],[x]])/Table1[[#This Row],[l]])</f>
        <v>600</v>
      </c>
      <c r="G43" s="5">
        <f>(((2*Table1[[#This Row],[x]])-Table1[[#This Row],[l]])*(Table1[[#This Row],[Load(p)]]*Table1[[#This Row],[c]]))/Table1[[#This Row],[l]]</f>
        <v>-4000</v>
      </c>
      <c r="H43" s="5">
        <f>(((2*Table1[[#This Row],[x]])-Table1[[#This Row],[l]])*(Table1[[#This Row],[Load(p)]]))/Table1[[#This Row],[l]]</f>
        <v>-200</v>
      </c>
      <c r="I43" s="5">
        <f>Table1[[#This Row],[Load(p)]]*((Table1[[#This Row],[l]]-Table1[[#This Row],[x]])/Table1[[#This Row],[l]])</f>
        <v>600</v>
      </c>
      <c r="J43" s="5">
        <f>Table1[[#This Row],[Load(p)]]*(Table1[[#This Row],[x]]/Table1[[#This Row],[l]])</f>
        <v>400</v>
      </c>
      <c r="K43" s="5">
        <f>Table1[[#This Row],[BM]]/Table1[[#This Row],[Z]]</f>
        <v>-5.3333333333333332E-3</v>
      </c>
      <c r="L43" s="5">
        <f>Table1[[#This Row],[SF]]/Table1[[#This Row],[bd]]</f>
        <v>-1.3333333333333334E-2</v>
      </c>
      <c r="M43" s="5">
        <f t="shared" si="6"/>
        <v>-7.3223298629101513E-2</v>
      </c>
      <c r="N43" s="5">
        <f>(Table1[[#This Row],[Shear Stress]])*SQRT(PI()*Table1[[#This Row],[a]])</f>
        <v>-0.1830582465727538</v>
      </c>
      <c r="O43" s="5">
        <f t="shared" si="5"/>
        <v>0.24223788318168679</v>
      </c>
      <c r="P43" s="5">
        <v>50</v>
      </c>
      <c r="Q43" s="5">
        <v>300</v>
      </c>
      <c r="R43" s="5">
        <f>(Table1[[#This Row],[b]]*(Table1[[#This Row],[d]]^2))/6</f>
        <v>750000</v>
      </c>
      <c r="S43" s="5">
        <f>Table1[[#This Row],[b]]*Table1[[#This Row],[d]]</f>
        <v>15000</v>
      </c>
      <c r="T43" s="5">
        <v>1000</v>
      </c>
    </row>
    <row r="44" spans="1:20" x14ac:dyDescent="0.25">
      <c r="A44" s="5">
        <v>1000</v>
      </c>
      <c r="B44" s="5">
        <v>400</v>
      </c>
      <c r="C44" s="5">
        <v>20.5</v>
      </c>
      <c r="D44" s="5">
        <v>60</v>
      </c>
      <c r="E44" s="5">
        <f>(Table1[[#This Row],[Load(p)]]*Table1[[#This Row],[x]])/Table1[[#This Row],[l]]</f>
        <v>400</v>
      </c>
      <c r="F44" s="5">
        <f>(Table1[[#This Row],[Load(p)]]*(Table1[[#This Row],[l]]-Table1[[#This Row],[x]])/Table1[[#This Row],[l]])</f>
        <v>600</v>
      </c>
      <c r="G44" s="5">
        <f>(((2*Table1[[#This Row],[x]])-Table1[[#This Row],[l]])*(Table1[[#This Row],[Load(p)]]*Table1[[#This Row],[c]]))/Table1[[#This Row],[l]]</f>
        <v>-4100</v>
      </c>
      <c r="H44" s="5">
        <f>(((2*Table1[[#This Row],[x]])-Table1[[#This Row],[l]])*(Table1[[#This Row],[Load(p)]]))/Table1[[#This Row],[l]]</f>
        <v>-200</v>
      </c>
      <c r="I44" s="5">
        <f>Table1[[#This Row],[Load(p)]]*((Table1[[#This Row],[l]]-Table1[[#This Row],[x]])/Table1[[#This Row],[l]])</f>
        <v>600</v>
      </c>
      <c r="J44" s="5">
        <f>Table1[[#This Row],[Load(p)]]*(Table1[[#This Row],[x]]/Table1[[#This Row],[l]])</f>
        <v>400</v>
      </c>
      <c r="K44" s="5">
        <f>Table1[[#This Row],[BM]]/Table1[[#This Row],[Z]]</f>
        <v>-5.4666666666666665E-3</v>
      </c>
      <c r="L44" s="5">
        <f>Table1[[#This Row],[SF]]/Table1[[#This Row],[bd]]</f>
        <v>-1.3333333333333334E-2</v>
      </c>
      <c r="M44" s="5">
        <f t="shared" si="6"/>
        <v>-7.505388109482905E-2</v>
      </c>
      <c r="N44" s="5">
        <f>(Table1[[#This Row],[Shear Stress]])*SQRT(PI()*Table1[[#This Row],[a]])</f>
        <v>-0.1830582465727538</v>
      </c>
      <c r="O44" s="5">
        <f t="shared" si="5"/>
        <v>0.24770699066326754</v>
      </c>
      <c r="P44" s="5">
        <v>50</v>
      </c>
      <c r="Q44" s="5">
        <v>300</v>
      </c>
      <c r="R44" s="5">
        <f>(Table1[[#This Row],[b]]*(Table1[[#This Row],[d]]^2))/6</f>
        <v>750000</v>
      </c>
      <c r="S44" s="5">
        <f>Table1[[#This Row],[b]]*Table1[[#This Row],[d]]</f>
        <v>15000</v>
      </c>
      <c r="T44" s="5">
        <v>1000</v>
      </c>
    </row>
    <row r="45" spans="1:20" x14ac:dyDescent="0.25">
      <c r="A45" s="5">
        <v>1000</v>
      </c>
      <c r="B45" s="5">
        <v>400</v>
      </c>
      <c r="C45" s="5">
        <v>21</v>
      </c>
      <c r="D45" s="5">
        <v>60</v>
      </c>
      <c r="E45" s="5">
        <f>(Table1[[#This Row],[Load(p)]]*Table1[[#This Row],[x]])/Table1[[#This Row],[l]]</f>
        <v>400</v>
      </c>
      <c r="F45" s="5">
        <f>(Table1[[#This Row],[Load(p)]]*(Table1[[#This Row],[l]]-Table1[[#This Row],[x]])/Table1[[#This Row],[l]])</f>
        <v>600</v>
      </c>
      <c r="G45" s="5">
        <f>(((2*Table1[[#This Row],[x]])-Table1[[#This Row],[l]])*(Table1[[#This Row],[Load(p)]]*Table1[[#This Row],[c]]))/Table1[[#This Row],[l]]</f>
        <v>-4200</v>
      </c>
      <c r="H45" s="5">
        <f>(((2*Table1[[#This Row],[x]])-Table1[[#This Row],[l]])*(Table1[[#This Row],[Load(p)]]))/Table1[[#This Row],[l]]</f>
        <v>-200</v>
      </c>
      <c r="I45" s="5">
        <f>Table1[[#This Row],[Load(p)]]*((Table1[[#This Row],[l]]-Table1[[#This Row],[x]])/Table1[[#This Row],[l]])</f>
        <v>600</v>
      </c>
      <c r="J45" s="5">
        <f>Table1[[#This Row],[Load(p)]]*(Table1[[#This Row],[x]]/Table1[[#This Row],[l]])</f>
        <v>400</v>
      </c>
      <c r="K45" s="5">
        <f>Table1[[#This Row],[BM]]/Table1[[#This Row],[Z]]</f>
        <v>-5.5999999999999999E-3</v>
      </c>
      <c r="L45" s="5">
        <f>Table1[[#This Row],[SF]]/Table1[[#This Row],[bd]]</f>
        <v>-1.3333333333333334E-2</v>
      </c>
      <c r="M45" s="5">
        <f t="shared" si="6"/>
        <v>-7.6884463560556587E-2</v>
      </c>
      <c r="N45" s="5">
        <f>(Table1[[#This Row],[Shear Stress]])*SQRT(PI()*Table1[[#This Row],[a]])</f>
        <v>-0.1830582465727538</v>
      </c>
      <c r="O45" s="5">
        <f t="shared" si="5"/>
        <v>0.25313784144979651</v>
      </c>
      <c r="P45" s="5">
        <v>50</v>
      </c>
      <c r="Q45" s="5">
        <v>300</v>
      </c>
      <c r="R45" s="5">
        <f>(Table1[[#This Row],[b]]*(Table1[[#This Row],[d]]^2))/6</f>
        <v>750000</v>
      </c>
      <c r="S45" s="5">
        <f>Table1[[#This Row],[b]]*Table1[[#This Row],[d]]</f>
        <v>15000</v>
      </c>
      <c r="T45" s="5">
        <v>1000</v>
      </c>
    </row>
    <row r="46" spans="1:20" x14ac:dyDescent="0.25">
      <c r="A46" s="5">
        <v>1000</v>
      </c>
      <c r="B46" s="5">
        <v>400</v>
      </c>
      <c r="C46" s="5">
        <v>21.5</v>
      </c>
      <c r="D46" s="5">
        <v>60</v>
      </c>
      <c r="E46" s="5">
        <f>(Table1[[#This Row],[Load(p)]]*Table1[[#This Row],[x]])/Table1[[#This Row],[l]]</f>
        <v>400</v>
      </c>
      <c r="F46" s="5">
        <f>(Table1[[#This Row],[Load(p)]]*(Table1[[#This Row],[l]]-Table1[[#This Row],[x]])/Table1[[#This Row],[l]])</f>
        <v>600</v>
      </c>
      <c r="G46" s="5">
        <f>(((2*Table1[[#This Row],[x]])-Table1[[#This Row],[l]])*(Table1[[#This Row],[Load(p)]]*Table1[[#This Row],[c]]))/Table1[[#This Row],[l]]</f>
        <v>-4300</v>
      </c>
      <c r="H46" s="5">
        <f>(((2*Table1[[#This Row],[x]])-Table1[[#This Row],[l]])*(Table1[[#This Row],[Load(p)]]))/Table1[[#This Row],[l]]</f>
        <v>-200</v>
      </c>
      <c r="I46" s="5">
        <f>Table1[[#This Row],[Load(p)]]*((Table1[[#This Row],[l]]-Table1[[#This Row],[x]])/Table1[[#This Row],[l]])</f>
        <v>600</v>
      </c>
      <c r="J46" s="5">
        <f>Table1[[#This Row],[Load(p)]]*(Table1[[#This Row],[x]]/Table1[[#This Row],[l]])</f>
        <v>400</v>
      </c>
      <c r="K46" s="5">
        <f>Table1[[#This Row],[BM]]/Table1[[#This Row],[Z]]</f>
        <v>-5.7333333333333333E-3</v>
      </c>
      <c r="L46" s="5">
        <f>Table1[[#This Row],[SF]]/Table1[[#This Row],[bd]]</f>
        <v>-1.3333333333333334E-2</v>
      </c>
      <c r="M46" s="5">
        <f t="shared" si="6"/>
        <v>-7.8715046026284125E-2</v>
      </c>
      <c r="N46" s="5">
        <f>(Table1[[#This Row],[Shear Stress]])*SQRT(PI()*Table1[[#This Row],[a]])</f>
        <v>-0.1830582465727538</v>
      </c>
      <c r="O46" s="5">
        <f t="shared" si="5"/>
        <v>0.25853005344507723</v>
      </c>
      <c r="P46" s="5">
        <v>50</v>
      </c>
      <c r="Q46" s="5">
        <v>300</v>
      </c>
      <c r="R46" s="5">
        <f>(Table1[[#This Row],[b]]*(Table1[[#This Row],[d]]^2))/6</f>
        <v>750000</v>
      </c>
      <c r="S46" s="5">
        <f>Table1[[#This Row],[b]]*Table1[[#This Row],[d]]</f>
        <v>15000</v>
      </c>
      <c r="T46" s="5">
        <v>1000</v>
      </c>
    </row>
    <row r="47" spans="1:20" x14ac:dyDescent="0.25">
      <c r="A47" s="5">
        <v>1000</v>
      </c>
      <c r="B47" s="5">
        <v>400</v>
      </c>
      <c r="C47" s="5">
        <v>22</v>
      </c>
      <c r="D47" s="5">
        <v>60</v>
      </c>
      <c r="E47" s="5">
        <f>(Table1[[#This Row],[Load(p)]]*Table1[[#This Row],[x]])/Table1[[#This Row],[l]]</f>
        <v>400</v>
      </c>
      <c r="F47" s="5">
        <f>(Table1[[#This Row],[Load(p)]]*(Table1[[#This Row],[l]]-Table1[[#This Row],[x]])/Table1[[#This Row],[l]])</f>
        <v>600</v>
      </c>
      <c r="G47" s="5">
        <f>(((2*Table1[[#This Row],[x]])-Table1[[#This Row],[l]])*(Table1[[#This Row],[Load(p)]]*Table1[[#This Row],[c]]))/Table1[[#This Row],[l]]</f>
        <v>-4400</v>
      </c>
      <c r="H47" s="5">
        <f>(((2*Table1[[#This Row],[x]])-Table1[[#This Row],[l]])*(Table1[[#This Row],[Load(p)]]))/Table1[[#This Row],[l]]</f>
        <v>-200</v>
      </c>
      <c r="I47" s="5">
        <f>Table1[[#This Row],[Load(p)]]*((Table1[[#This Row],[l]]-Table1[[#This Row],[x]])/Table1[[#This Row],[l]])</f>
        <v>600</v>
      </c>
      <c r="J47" s="5">
        <f>Table1[[#This Row],[Load(p)]]*(Table1[[#This Row],[x]]/Table1[[#This Row],[l]])</f>
        <v>400</v>
      </c>
      <c r="K47" s="5">
        <f>Table1[[#This Row],[BM]]/Table1[[#This Row],[Z]]</f>
        <v>-5.8666666666666667E-3</v>
      </c>
      <c r="L47" s="5">
        <f>Table1[[#This Row],[SF]]/Table1[[#This Row],[bd]]</f>
        <v>-1.3333333333333334E-2</v>
      </c>
      <c r="M47" s="5">
        <f t="shared" si="6"/>
        <v>-8.0545628492011662E-2</v>
      </c>
      <c r="N47" s="5">
        <f>(Table1[[#This Row],[Shear Stress]])*SQRT(PI()*Table1[[#This Row],[a]])</f>
        <v>-0.1830582465727538</v>
      </c>
      <c r="O47" s="5">
        <f t="shared" si="5"/>
        <v>0.26388327214296403</v>
      </c>
      <c r="P47" s="5">
        <v>50</v>
      </c>
      <c r="Q47" s="5">
        <v>300</v>
      </c>
      <c r="R47" s="5">
        <f>(Table1[[#This Row],[b]]*(Table1[[#This Row],[d]]^2))/6</f>
        <v>750000</v>
      </c>
      <c r="S47" s="5">
        <f>Table1[[#This Row],[b]]*Table1[[#This Row],[d]]</f>
        <v>15000</v>
      </c>
      <c r="T47" s="5">
        <v>1000</v>
      </c>
    </row>
    <row r="48" spans="1:20" x14ac:dyDescent="0.25">
      <c r="A48" s="5">
        <v>1000</v>
      </c>
      <c r="B48" s="5">
        <v>400</v>
      </c>
      <c r="C48" s="5">
        <v>22.5</v>
      </c>
      <c r="D48" s="5">
        <v>60</v>
      </c>
      <c r="E48" s="5">
        <f>(Table1[[#This Row],[Load(p)]]*Table1[[#This Row],[x]])/Table1[[#This Row],[l]]</f>
        <v>400</v>
      </c>
      <c r="F48" s="5">
        <f>(Table1[[#This Row],[Load(p)]]*(Table1[[#This Row],[l]]-Table1[[#This Row],[x]])/Table1[[#This Row],[l]])</f>
        <v>600</v>
      </c>
      <c r="G48" s="5">
        <f>(((2*Table1[[#This Row],[x]])-Table1[[#This Row],[l]])*(Table1[[#This Row],[Load(p)]]*Table1[[#This Row],[c]]))/Table1[[#This Row],[l]]</f>
        <v>-4500</v>
      </c>
      <c r="H48" s="5">
        <f>(((2*Table1[[#This Row],[x]])-Table1[[#This Row],[l]])*(Table1[[#This Row],[Load(p)]]))/Table1[[#This Row],[l]]</f>
        <v>-200</v>
      </c>
      <c r="I48" s="5">
        <f>Table1[[#This Row],[Load(p)]]*((Table1[[#This Row],[l]]-Table1[[#This Row],[x]])/Table1[[#This Row],[l]])</f>
        <v>600</v>
      </c>
      <c r="J48" s="5">
        <f>Table1[[#This Row],[Load(p)]]*(Table1[[#This Row],[x]]/Table1[[#This Row],[l]])</f>
        <v>400</v>
      </c>
      <c r="K48" s="5">
        <f>Table1[[#This Row],[BM]]/Table1[[#This Row],[Z]]</f>
        <v>-6.0000000000000001E-3</v>
      </c>
      <c r="L48" s="5">
        <f>Table1[[#This Row],[SF]]/Table1[[#This Row],[bd]]</f>
        <v>-1.3333333333333334E-2</v>
      </c>
      <c r="M48" s="5">
        <f t="shared" si="6"/>
        <v>-8.2376210957739199E-2</v>
      </c>
      <c r="N48" s="5">
        <f>(Table1[[#This Row],[Shear Stress]])*SQRT(PI()*Table1[[#This Row],[a]])</f>
        <v>-0.1830582465727538</v>
      </c>
      <c r="O48" s="5">
        <f t="shared" si="5"/>
        <v>0.26919717019949074</v>
      </c>
      <c r="P48" s="5">
        <v>50</v>
      </c>
      <c r="Q48" s="5">
        <v>300</v>
      </c>
      <c r="R48" s="5">
        <f>(Table1[[#This Row],[b]]*(Table1[[#This Row],[d]]^2))/6</f>
        <v>750000</v>
      </c>
      <c r="S48" s="5">
        <f>Table1[[#This Row],[b]]*Table1[[#This Row],[d]]</f>
        <v>15000</v>
      </c>
      <c r="T48" s="5">
        <v>1000</v>
      </c>
    </row>
    <row r="49" spans="1:23" x14ac:dyDescent="0.25">
      <c r="A49" s="5">
        <v>1000</v>
      </c>
      <c r="B49" s="5">
        <v>400</v>
      </c>
      <c r="C49" s="5">
        <v>23</v>
      </c>
      <c r="D49" s="5">
        <v>60</v>
      </c>
      <c r="E49" s="5">
        <f>(Table1[[#This Row],[Load(p)]]*Table1[[#This Row],[x]])/Table1[[#This Row],[l]]</f>
        <v>400</v>
      </c>
      <c r="F49" s="5">
        <f>(Table1[[#This Row],[Load(p)]]*(Table1[[#This Row],[l]]-Table1[[#This Row],[x]])/Table1[[#This Row],[l]])</f>
        <v>600</v>
      </c>
      <c r="G49" s="5">
        <f>(((2*Table1[[#This Row],[x]])-Table1[[#This Row],[l]])*(Table1[[#This Row],[Load(p)]]*Table1[[#This Row],[c]]))/Table1[[#This Row],[l]]</f>
        <v>-4600</v>
      </c>
      <c r="H49" s="5">
        <f>(((2*Table1[[#This Row],[x]])-Table1[[#This Row],[l]])*(Table1[[#This Row],[Load(p)]]))/Table1[[#This Row],[l]]</f>
        <v>-200</v>
      </c>
      <c r="I49" s="5">
        <f>Table1[[#This Row],[Load(p)]]*((Table1[[#This Row],[l]]-Table1[[#This Row],[x]])/Table1[[#This Row],[l]])</f>
        <v>600</v>
      </c>
      <c r="J49" s="5">
        <f>Table1[[#This Row],[Load(p)]]*(Table1[[#This Row],[x]]/Table1[[#This Row],[l]])</f>
        <v>400</v>
      </c>
      <c r="K49" s="5">
        <f>Table1[[#This Row],[BM]]/Table1[[#This Row],[Z]]</f>
        <v>-6.1333333333333335E-3</v>
      </c>
      <c r="L49" s="5">
        <f>Table1[[#This Row],[SF]]/Table1[[#This Row],[bd]]</f>
        <v>-1.3333333333333334E-2</v>
      </c>
      <c r="M49" s="5">
        <f t="shared" si="6"/>
        <v>-8.4206793423466736E-2</v>
      </c>
      <c r="N49" s="5">
        <f>(Table1[[#This Row],[Shear Stress]])*SQRT(PI()*Table1[[#This Row],[a]])</f>
        <v>-0.1830582465727538</v>
      </c>
      <c r="O49" s="5">
        <f t="shared" si="5"/>
        <v>0.27447144697523679</v>
      </c>
      <c r="P49" s="5">
        <v>50</v>
      </c>
      <c r="Q49" s="5">
        <v>300</v>
      </c>
      <c r="R49" s="5">
        <f>(Table1[[#This Row],[b]]*(Table1[[#This Row],[d]]^2))/6</f>
        <v>750000</v>
      </c>
      <c r="S49" s="5">
        <f>Table1[[#This Row],[b]]*Table1[[#This Row],[d]]</f>
        <v>15000</v>
      </c>
      <c r="T49" s="5">
        <v>1000</v>
      </c>
    </row>
    <row r="50" spans="1:23" x14ac:dyDescent="0.25">
      <c r="A50" s="5">
        <v>1000</v>
      </c>
      <c r="B50" s="5">
        <v>400</v>
      </c>
      <c r="C50" s="5">
        <v>23.5</v>
      </c>
      <c r="D50" s="5">
        <v>60</v>
      </c>
      <c r="E50" s="5">
        <f>(Table1[[#This Row],[Load(p)]]*Table1[[#This Row],[x]])/Table1[[#This Row],[l]]</f>
        <v>400</v>
      </c>
      <c r="F50" s="5">
        <f>(Table1[[#This Row],[Load(p)]]*(Table1[[#This Row],[l]]-Table1[[#This Row],[x]])/Table1[[#This Row],[l]])</f>
        <v>600</v>
      </c>
      <c r="G50" s="5">
        <f>(((2*Table1[[#This Row],[x]])-Table1[[#This Row],[l]])*(Table1[[#This Row],[Load(p)]]*Table1[[#This Row],[c]]))/Table1[[#This Row],[l]]</f>
        <v>-4700</v>
      </c>
      <c r="H50" s="5">
        <f>(((2*Table1[[#This Row],[x]])-Table1[[#This Row],[l]])*(Table1[[#This Row],[Load(p)]]))/Table1[[#This Row],[l]]</f>
        <v>-200</v>
      </c>
      <c r="I50" s="5">
        <f>Table1[[#This Row],[Load(p)]]*((Table1[[#This Row],[l]]-Table1[[#This Row],[x]])/Table1[[#This Row],[l]])</f>
        <v>600</v>
      </c>
      <c r="J50" s="5">
        <f>Table1[[#This Row],[Load(p)]]*(Table1[[#This Row],[x]]/Table1[[#This Row],[l]])</f>
        <v>400</v>
      </c>
      <c r="K50" s="5">
        <f>Table1[[#This Row],[BM]]/Table1[[#This Row],[Z]]</f>
        <v>-6.2666666666666669E-3</v>
      </c>
      <c r="L50" s="5">
        <f>Table1[[#This Row],[SF]]/Table1[[#This Row],[bd]]</f>
        <v>-1.3333333333333334E-2</v>
      </c>
      <c r="M50" s="5">
        <f t="shared" si="6"/>
        <v>-8.6037375889194273E-2</v>
      </c>
      <c r="N50" s="5">
        <f>(Table1[[#This Row],[Shear Stress]])*SQRT(PI()*Table1[[#This Row],[a]])</f>
        <v>-0.1830582465727538</v>
      </c>
      <c r="O50" s="5">
        <f t="shared" si="5"/>
        <v>0.27970582805033517</v>
      </c>
      <c r="P50" s="5">
        <v>50</v>
      </c>
      <c r="Q50" s="5">
        <v>300</v>
      </c>
      <c r="R50" s="5">
        <f>(Table1[[#This Row],[b]]*(Table1[[#This Row],[d]]^2))/6</f>
        <v>750000</v>
      </c>
      <c r="S50" s="5">
        <f>Table1[[#This Row],[b]]*Table1[[#This Row],[d]]</f>
        <v>15000</v>
      </c>
      <c r="T50" s="5">
        <v>1000</v>
      </c>
    </row>
    <row r="51" spans="1:23" x14ac:dyDescent="0.25">
      <c r="A51" s="5">
        <v>1000</v>
      </c>
      <c r="B51" s="5">
        <v>400</v>
      </c>
      <c r="C51" s="5">
        <v>24</v>
      </c>
      <c r="D51" s="5">
        <v>60</v>
      </c>
      <c r="E51" s="5">
        <f>(Table1[[#This Row],[Load(p)]]*Table1[[#This Row],[x]])/Table1[[#This Row],[l]]</f>
        <v>400</v>
      </c>
      <c r="F51" s="5">
        <f>(Table1[[#This Row],[Load(p)]]*(Table1[[#This Row],[l]]-Table1[[#This Row],[x]])/Table1[[#This Row],[l]])</f>
        <v>600</v>
      </c>
      <c r="G51" s="5">
        <f>(((2*Table1[[#This Row],[x]])-Table1[[#This Row],[l]])*(Table1[[#This Row],[Load(p)]]*Table1[[#This Row],[c]]))/Table1[[#This Row],[l]]</f>
        <v>-4800</v>
      </c>
      <c r="H51" s="5">
        <f>(((2*Table1[[#This Row],[x]])-Table1[[#This Row],[l]])*(Table1[[#This Row],[Load(p)]]))/Table1[[#This Row],[l]]</f>
        <v>-200</v>
      </c>
      <c r="I51" s="5">
        <f>Table1[[#This Row],[Load(p)]]*((Table1[[#This Row],[l]]-Table1[[#This Row],[x]])/Table1[[#This Row],[l]])</f>
        <v>600</v>
      </c>
      <c r="J51" s="5">
        <f>Table1[[#This Row],[Load(p)]]*(Table1[[#This Row],[x]]/Table1[[#This Row],[l]])</f>
        <v>400</v>
      </c>
      <c r="K51" s="5">
        <f>Table1[[#This Row],[BM]]/Table1[[#This Row],[Z]]</f>
        <v>-6.4000000000000003E-3</v>
      </c>
      <c r="L51" s="5">
        <f>Table1[[#This Row],[SF]]/Table1[[#This Row],[bd]]</f>
        <v>-1.3333333333333334E-2</v>
      </c>
      <c r="M51" s="5">
        <f t="shared" si="6"/>
        <v>-8.7867958354921824E-2</v>
      </c>
      <c r="N51" s="5">
        <f>(Table1[[#This Row],[Shear Stress]])*SQRT(PI()*Table1[[#This Row],[a]])</f>
        <v>-0.1830582465727538</v>
      </c>
      <c r="O51" s="5">
        <f t="shared" si="5"/>
        <v>0.28490006471450313</v>
      </c>
      <c r="P51" s="5">
        <v>50</v>
      </c>
      <c r="Q51" s="5">
        <v>300</v>
      </c>
      <c r="R51" s="5">
        <f>(Table1[[#This Row],[b]]*(Table1[[#This Row],[d]]^2))/6</f>
        <v>750000</v>
      </c>
      <c r="S51" s="5">
        <f>Table1[[#This Row],[b]]*Table1[[#This Row],[d]]</f>
        <v>15000</v>
      </c>
      <c r="T51" s="5">
        <v>1000</v>
      </c>
    </row>
    <row r="52" spans="1:23" ht="15" customHeight="1" x14ac:dyDescent="0.25">
      <c r="A52" s="5">
        <v>1000</v>
      </c>
      <c r="B52" s="5">
        <v>400</v>
      </c>
      <c r="C52" s="5">
        <v>24.5</v>
      </c>
      <c r="D52" s="5">
        <v>60</v>
      </c>
      <c r="E52" s="5">
        <f>(Table1[[#This Row],[Load(p)]]*Table1[[#This Row],[x]])/Table1[[#This Row],[l]]</f>
        <v>400</v>
      </c>
      <c r="F52" s="5">
        <f>(Table1[[#This Row],[Load(p)]]*(Table1[[#This Row],[l]]-Table1[[#This Row],[x]])/Table1[[#This Row],[l]])</f>
        <v>600</v>
      </c>
      <c r="G52" s="5">
        <f>(((2*Table1[[#This Row],[x]])-Table1[[#This Row],[l]])*(Table1[[#This Row],[Load(p)]]*Table1[[#This Row],[c]]))/Table1[[#This Row],[l]]</f>
        <v>-4900</v>
      </c>
      <c r="H52" s="5">
        <f>(((2*Table1[[#This Row],[x]])-Table1[[#This Row],[l]])*(Table1[[#This Row],[Load(p)]]))/Table1[[#This Row],[l]]</f>
        <v>-200</v>
      </c>
      <c r="I52" s="5">
        <f>Table1[[#This Row],[Load(p)]]*((Table1[[#This Row],[l]]-Table1[[#This Row],[x]])/Table1[[#This Row],[l]])</f>
        <v>600</v>
      </c>
      <c r="J52" s="5">
        <f>Table1[[#This Row],[Load(p)]]*(Table1[[#This Row],[x]]/Table1[[#This Row],[l]])</f>
        <v>400</v>
      </c>
      <c r="K52" s="5">
        <f>Table1[[#This Row],[BM]]/Table1[[#This Row],[Z]]</f>
        <v>-6.5333333333333337E-3</v>
      </c>
      <c r="L52" s="5">
        <f>Table1[[#This Row],[SF]]/Table1[[#This Row],[bd]]</f>
        <v>-1.3333333333333334E-2</v>
      </c>
      <c r="M52" s="5">
        <f t="shared" si="6"/>
        <v>-8.9698540820649361E-2</v>
      </c>
      <c r="N52" s="5">
        <f>(Table1[[#This Row],[Shear Stress]])*SQRT(PI()*Table1[[#This Row],[a]])</f>
        <v>-0.1830582465727538</v>
      </c>
      <c r="O52" s="5">
        <f t="shared" si="5"/>
        <v>0.29005393343443664</v>
      </c>
      <c r="P52" s="5">
        <v>50</v>
      </c>
      <c r="Q52" s="5">
        <v>300</v>
      </c>
      <c r="R52" s="5">
        <f>(Table1[[#This Row],[b]]*(Table1[[#This Row],[d]]^2))/6</f>
        <v>750000</v>
      </c>
      <c r="S52" s="5">
        <f>Table1[[#This Row],[b]]*Table1[[#This Row],[d]]</f>
        <v>15000</v>
      </c>
      <c r="T52" s="5">
        <v>1000</v>
      </c>
      <c r="U52" s="27" t="s">
        <v>20</v>
      </c>
      <c r="V52" s="27"/>
      <c r="W52" s="27"/>
    </row>
    <row r="53" spans="1:23" x14ac:dyDescent="0.25">
      <c r="A53" s="17">
        <v>1000</v>
      </c>
      <c r="B53" s="18">
        <v>400</v>
      </c>
      <c r="C53" s="18">
        <v>25</v>
      </c>
      <c r="D53" s="18">
        <v>60</v>
      </c>
      <c r="E53" s="18">
        <f>(Table1[[#This Row],[Load(p)]]*Table1[[#This Row],[x]])/Table1[[#This Row],[l]]</f>
        <v>400</v>
      </c>
      <c r="F53" s="18">
        <f>(Table1[[#This Row],[Load(p)]]*(Table1[[#This Row],[l]]-Table1[[#This Row],[x]])/Table1[[#This Row],[l]])</f>
        <v>600</v>
      </c>
      <c r="G53" s="18">
        <f>(((2*Table1[[#This Row],[x]])-Table1[[#This Row],[l]])*(Table1[[#This Row],[Load(p)]]*Table1[[#This Row],[c]]))/Table1[[#This Row],[l]]</f>
        <v>-5000</v>
      </c>
      <c r="H53" s="18">
        <f>(((2*Table1[[#This Row],[x]])-Table1[[#This Row],[l]])*(Table1[[#This Row],[Load(p)]]))/Table1[[#This Row],[l]]</f>
        <v>-200</v>
      </c>
      <c r="I53" s="18">
        <f>Table1[[#This Row],[Load(p)]]*((Table1[[#This Row],[l]]-Table1[[#This Row],[x]])/Table1[[#This Row],[l]])</f>
        <v>600</v>
      </c>
      <c r="J53" s="18">
        <f>Table1[[#This Row],[Load(p)]]*(Table1[[#This Row],[x]]/Table1[[#This Row],[l]])</f>
        <v>400</v>
      </c>
      <c r="K53" s="18">
        <f>Table1[[#This Row],[BM]]/Table1[[#This Row],[Z]]</f>
        <v>-6.6666666666666671E-3</v>
      </c>
      <c r="L53" s="18">
        <f>Table1[[#This Row],[SF]]/Table1[[#This Row],[bd]]</f>
        <v>-1.3333333333333334E-2</v>
      </c>
      <c r="M53" s="18">
        <f t="shared" si="6"/>
        <v>-9.1529123286376898E-2</v>
      </c>
      <c r="N53" s="18">
        <f>(Table1[[#This Row],[Shear Stress]])*SQRT(PI()*Table1[[#This Row],[a]])</f>
        <v>-0.1830582465727538</v>
      </c>
      <c r="O53" s="18">
        <f t="shared" si="5"/>
        <v>0.29516723530086653</v>
      </c>
      <c r="P53" s="18">
        <v>50</v>
      </c>
      <c r="Q53" s="18">
        <v>300</v>
      </c>
      <c r="R53" s="18">
        <f>(Table1[[#This Row],[b]]*(Table1[[#This Row],[d]]^2))/6</f>
        <v>750000</v>
      </c>
      <c r="S53" s="18">
        <f>Table1[[#This Row],[b]]*Table1[[#This Row],[d]]</f>
        <v>15000</v>
      </c>
      <c r="T53" s="19">
        <v>1000</v>
      </c>
      <c r="U53" s="28"/>
      <c r="V53" s="27"/>
      <c r="W53" s="27"/>
    </row>
    <row r="54" spans="1:23" x14ac:dyDescent="0.25">
      <c r="A54" s="6">
        <v>1000</v>
      </c>
      <c r="B54" s="7">
        <v>400</v>
      </c>
      <c r="C54" s="7">
        <v>25.5</v>
      </c>
      <c r="D54" s="7">
        <v>60</v>
      </c>
      <c r="E54" s="7">
        <f>(Table1[[#This Row],[Load(p)]]*Table1[[#This Row],[x]])/Table1[[#This Row],[l]]</f>
        <v>400</v>
      </c>
      <c r="F54" s="7">
        <f>(Table1[[#This Row],[Load(p)]]*(Table1[[#This Row],[l]]-Table1[[#This Row],[x]])/Table1[[#This Row],[l]])</f>
        <v>600</v>
      </c>
      <c r="G54" s="7">
        <f>(((2*Table1[[#This Row],[x]])-Table1[[#This Row],[l]])*(Table1[[#This Row],[Load(p)]]*Table1[[#This Row],[c]]))/Table1[[#This Row],[l]]</f>
        <v>-5100</v>
      </c>
      <c r="H54" s="7">
        <f>(((2*Table1[[#This Row],[x]])-Table1[[#This Row],[l]])*(Table1[[#This Row],[Load(p)]]))/Table1[[#This Row],[l]]</f>
        <v>-200</v>
      </c>
      <c r="I54" s="7">
        <f>Table1[[#This Row],[Load(p)]]*((Table1[[#This Row],[l]]-Table1[[#This Row],[x]])/Table1[[#This Row],[l]])</f>
        <v>600</v>
      </c>
      <c r="J54" s="7">
        <f>Table1[[#This Row],[Load(p)]]*(Table1[[#This Row],[x]]/Table1[[#This Row],[l]])</f>
        <v>400</v>
      </c>
      <c r="K54" s="7">
        <f>Table1[[#This Row],[BM]]/Table1[[#This Row],[Z]]</f>
        <v>-6.7999999999999996E-3</v>
      </c>
      <c r="L54" s="7">
        <f>Table1[[#This Row],[SF]]/Table1[[#This Row],[bd]]</f>
        <v>-1.3333333333333334E-2</v>
      </c>
      <c r="M54" s="7">
        <f t="shared" si="6"/>
        <v>-9.3359705752104422E-2</v>
      </c>
      <c r="N54" s="7">
        <f>(Table1[[#This Row],[Shear Stress]])*SQRT(PI()*Table1[[#This Row],[a]])</f>
        <v>-0.1830582465727538</v>
      </c>
      <c r="O54" s="7">
        <f t="shared" si="5"/>
        <v>0.30023979545752261</v>
      </c>
      <c r="P54" s="7">
        <v>50</v>
      </c>
      <c r="Q54" s="7">
        <v>300</v>
      </c>
      <c r="R54" s="7">
        <f>(Table1[[#This Row],[b]]*(Table1[[#This Row],[d]]^2))/6</f>
        <v>750000</v>
      </c>
      <c r="S54" s="7">
        <f>Table1[[#This Row],[b]]*Table1[[#This Row],[d]]</f>
        <v>15000</v>
      </c>
      <c r="T54" s="8">
        <v>1000</v>
      </c>
      <c r="U54" s="28"/>
      <c r="V54" s="27"/>
      <c r="W54" s="27"/>
    </row>
    <row r="55" spans="1:23" x14ac:dyDescent="0.25">
      <c r="A55" s="9">
        <v>1000</v>
      </c>
      <c r="B55" s="10">
        <v>400</v>
      </c>
      <c r="C55" s="10">
        <v>26</v>
      </c>
      <c r="D55" s="10">
        <v>60</v>
      </c>
      <c r="E55" s="10">
        <f>(Table1[[#This Row],[Load(p)]]*Table1[[#This Row],[x]])/Table1[[#This Row],[l]]</f>
        <v>400</v>
      </c>
      <c r="F55" s="10">
        <f>(Table1[[#This Row],[Load(p)]]*(Table1[[#This Row],[l]]-Table1[[#This Row],[x]])/Table1[[#This Row],[l]])</f>
        <v>600</v>
      </c>
      <c r="G55" s="10">
        <f>(((2*Table1[[#This Row],[x]])-Table1[[#This Row],[l]])*(Table1[[#This Row],[Load(p)]]*Table1[[#This Row],[c]]))/Table1[[#This Row],[l]]</f>
        <v>-5200</v>
      </c>
      <c r="H55" s="10">
        <f>(((2*Table1[[#This Row],[x]])-Table1[[#This Row],[l]])*(Table1[[#This Row],[Load(p)]]))/Table1[[#This Row],[l]]</f>
        <v>-200</v>
      </c>
      <c r="I55" s="10">
        <f>Table1[[#This Row],[Load(p)]]*((Table1[[#This Row],[l]]-Table1[[#This Row],[x]])/Table1[[#This Row],[l]])</f>
        <v>600</v>
      </c>
      <c r="J55" s="10">
        <f>Table1[[#This Row],[Load(p)]]*(Table1[[#This Row],[x]]/Table1[[#This Row],[l]])</f>
        <v>400</v>
      </c>
      <c r="K55" s="10">
        <f>Table1[[#This Row],[BM]]/Table1[[#This Row],[Z]]</f>
        <v>-6.933333333333333E-3</v>
      </c>
      <c r="L55" s="10">
        <f>Table1[[#This Row],[SF]]/Table1[[#This Row],[bd]]</f>
        <v>-1.3333333333333334E-2</v>
      </c>
      <c r="M55" s="10">
        <f t="shared" si="6"/>
        <v>-9.5190288217831959E-2</v>
      </c>
      <c r="N55" s="10">
        <f>(Table1[[#This Row],[Shear Stress]])*SQRT(PI()*Table1[[#This Row],[a]])</f>
        <v>-0.1830582465727538</v>
      </c>
      <c r="O55" s="10">
        <f t="shared" si="5"/>
        <v>0.30527146251419029</v>
      </c>
      <c r="P55" s="10">
        <v>50</v>
      </c>
      <c r="Q55" s="10">
        <v>300</v>
      </c>
      <c r="R55" s="10">
        <f>(Table1[[#This Row],[b]]*(Table1[[#This Row],[d]]^2))/6</f>
        <v>750000</v>
      </c>
      <c r="S55" s="10">
        <f>Table1[[#This Row],[b]]*Table1[[#This Row],[d]]</f>
        <v>15000</v>
      </c>
      <c r="T55" s="11">
        <v>1000</v>
      </c>
      <c r="U55" s="28"/>
      <c r="V55" s="27"/>
      <c r="W55" s="27"/>
    </row>
    <row r="56" spans="1:23" x14ac:dyDescent="0.25">
      <c r="A56" s="5">
        <v>1000</v>
      </c>
      <c r="B56" s="5">
        <v>400</v>
      </c>
      <c r="C56" s="5">
        <v>26.5</v>
      </c>
      <c r="D56" s="5">
        <v>60</v>
      </c>
      <c r="E56" s="5">
        <f>(Table1[[#This Row],[Load(p)]]*Table1[[#This Row],[x]])/Table1[[#This Row],[l]]</f>
        <v>400</v>
      </c>
      <c r="F56" s="5">
        <f>(Table1[[#This Row],[Load(p)]]*(Table1[[#This Row],[l]]-Table1[[#This Row],[x]])/Table1[[#This Row],[l]])</f>
        <v>600</v>
      </c>
      <c r="G56" s="5">
        <f>(((2*Table1[[#This Row],[x]])-Table1[[#This Row],[l]])*(Table1[[#This Row],[Load(p)]]*Table1[[#This Row],[c]]))/Table1[[#This Row],[l]]</f>
        <v>-5300</v>
      </c>
      <c r="H56" s="5">
        <f>(((2*Table1[[#This Row],[x]])-Table1[[#This Row],[l]])*(Table1[[#This Row],[Load(p)]]))/Table1[[#This Row],[l]]</f>
        <v>-200</v>
      </c>
      <c r="I56" s="5">
        <f>Table1[[#This Row],[Load(p)]]*((Table1[[#This Row],[l]]-Table1[[#This Row],[x]])/Table1[[#This Row],[l]])</f>
        <v>600</v>
      </c>
      <c r="J56" s="5">
        <f>Table1[[#This Row],[Load(p)]]*(Table1[[#This Row],[x]]/Table1[[#This Row],[l]])</f>
        <v>400</v>
      </c>
      <c r="K56" s="5">
        <f>Table1[[#This Row],[BM]]/Table1[[#This Row],[Z]]</f>
        <v>-7.0666666666666664E-3</v>
      </c>
      <c r="L56" s="5">
        <f>Table1[[#This Row],[SF]]/Table1[[#This Row],[bd]]</f>
        <v>-1.3333333333333334E-2</v>
      </c>
      <c r="M56" s="5">
        <f t="shared" si="6"/>
        <v>-9.7020870683559496E-2</v>
      </c>
      <c r="N56" s="5">
        <f>(Table1[[#This Row],[Shear Stress]])*SQRT(PI()*Table1[[#This Row],[a]])</f>
        <v>-0.1830582465727538</v>
      </c>
      <c r="O56" s="5">
        <f t="shared" si="5"/>
        <v>0.31026210794598202</v>
      </c>
      <c r="P56" s="5">
        <v>50</v>
      </c>
      <c r="Q56" s="5">
        <v>300</v>
      </c>
      <c r="R56" s="5">
        <f>(Table1[[#This Row],[b]]*(Table1[[#This Row],[d]]^2))/6</f>
        <v>750000</v>
      </c>
      <c r="S56" s="5">
        <f>Table1[[#This Row],[b]]*Table1[[#This Row],[d]]</f>
        <v>15000</v>
      </c>
      <c r="T56" s="5">
        <v>1000</v>
      </c>
    </row>
    <row r="57" spans="1:23" x14ac:dyDescent="0.25">
      <c r="A57" s="5">
        <v>1000</v>
      </c>
      <c r="B57" s="5">
        <v>400</v>
      </c>
      <c r="C57" s="5">
        <v>27</v>
      </c>
      <c r="D57" s="5">
        <v>60</v>
      </c>
      <c r="E57" s="5">
        <f>(Table1[[#This Row],[Load(p)]]*Table1[[#This Row],[x]])/Table1[[#This Row],[l]]</f>
        <v>400</v>
      </c>
      <c r="F57" s="5">
        <f>(Table1[[#This Row],[Load(p)]]*(Table1[[#This Row],[l]]-Table1[[#This Row],[x]])/Table1[[#This Row],[l]])</f>
        <v>600</v>
      </c>
      <c r="G57" s="5">
        <f>(((2*Table1[[#This Row],[x]])-Table1[[#This Row],[l]])*(Table1[[#This Row],[Load(p)]]*Table1[[#This Row],[c]]))/Table1[[#This Row],[l]]</f>
        <v>-5400</v>
      </c>
      <c r="H57" s="5">
        <f>(((2*Table1[[#This Row],[x]])-Table1[[#This Row],[l]])*(Table1[[#This Row],[Load(p)]]))/Table1[[#This Row],[l]]</f>
        <v>-200</v>
      </c>
      <c r="I57" s="5">
        <f>Table1[[#This Row],[Load(p)]]*((Table1[[#This Row],[l]]-Table1[[#This Row],[x]])/Table1[[#This Row],[l]])</f>
        <v>600</v>
      </c>
      <c r="J57" s="5">
        <f>Table1[[#This Row],[Load(p)]]*(Table1[[#This Row],[x]]/Table1[[#This Row],[l]])</f>
        <v>400</v>
      </c>
      <c r="K57" s="5">
        <f>Table1[[#This Row],[BM]]/Table1[[#This Row],[Z]]</f>
        <v>-7.1999999999999998E-3</v>
      </c>
      <c r="L57" s="5">
        <f>Table1[[#This Row],[SF]]/Table1[[#This Row],[bd]]</f>
        <v>-1.3333333333333334E-2</v>
      </c>
      <c r="M57" s="5">
        <f t="shared" si="6"/>
        <v>-9.8851453149287033E-2</v>
      </c>
      <c r="N57" s="5">
        <f>(Table1[[#This Row],[Shear Stress]])*SQRT(PI()*Table1[[#This Row],[a]])</f>
        <v>-0.1830582465727538</v>
      </c>
      <c r="O57" s="5">
        <f t="shared" si="5"/>
        <v>0.31521162548087311</v>
      </c>
      <c r="P57" s="5">
        <v>50</v>
      </c>
      <c r="Q57" s="5">
        <v>300</v>
      </c>
      <c r="R57" s="5">
        <f>(Table1[[#This Row],[b]]*(Table1[[#This Row],[d]]^2))/6</f>
        <v>750000</v>
      </c>
      <c r="S57" s="5">
        <f>Table1[[#This Row],[b]]*Table1[[#This Row],[d]]</f>
        <v>15000</v>
      </c>
      <c r="T57" s="5">
        <v>1000</v>
      </c>
    </row>
    <row r="58" spans="1:23" x14ac:dyDescent="0.25">
      <c r="A58" s="12">
        <v>1000</v>
      </c>
      <c r="B58" s="12">
        <v>400</v>
      </c>
      <c r="C58" s="12">
        <v>100</v>
      </c>
      <c r="D58" s="12">
        <v>60</v>
      </c>
      <c r="E58" s="12">
        <f>(Table1[[#This Row],[Load(p)]]*Table1[[#This Row],[x]])/Table1[[#This Row],[l]]</f>
        <v>400</v>
      </c>
      <c r="F58" s="12">
        <f>(Table1[[#This Row],[Load(p)]]*(Table1[[#This Row],[l]]-Table1[[#This Row],[x]])/Table1[[#This Row],[l]])</f>
        <v>600</v>
      </c>
      <c r="G58" s="12">
        <f>(((2*Table1[[#This Row],[x]])-Table1[[#This Row],[l]])*(Table1[[#This Row],[Load(p)]]*Table1[[#This Row],[c]]))/Table1[[#This Row],[l]]</f>
        <v>-20000</v>
      </c>
      <c r="H58" s="12">
        <f>(((2*Table1[[#This Row],[x]])-Table1[[#This Row],[l]])*(Table1[[#This Row],[Load(p)]]))/Table1[[#This Row],[l]]</f>
        <v>-200</v>
      </c>
      <c r="I58" s="12">
        <f>Table1[[#This Row],[Load(p)]]*((Table1[[#This Row],[l]]-Table1[[#This Row],[x]])/Table1[[#This Row],[l]])</f>
        <v>600</v>
      </c>
      <c r="J58" s="12">
        <f>Table1[[#This Row],[Load(p)]]*(Table1[[#This Row],[x]]/Table1[[#This Row],[l]])</f>
        <v>400</v>
      </c>
      <c r="K58" s="12">
        <f>Table1[[#This Row],[BM]]/Table1[[#This Row],[Z]]</f>
        <v>-2.6666666666666668E-2</v>
      </c>
      <c r="L58" s="12">
        <f>Table1[[#This Row],[SF]]/Table1[[#This Row],[bd]]</f>
        <v>-1.3333333333333334E-2</v>
      </c>
      <c r="M58" s="12">
        <f t="shared" si="6"/>
        <v>-0.36611649314550759</v>
      </c>
      <c r="N58" s="12">
        <f>(Table1[[#This Row],[Shear Stress]])*SQRT(PI()*Table1[[#This Row],[a]])</f>
        <v>-0.1830582465727538</v>
      </c>
      <c r="O58" s="12">
        <f t="shared" ref="O58:O70" si="7">(2/PI())*(ATAN((M58/N58)))</f>
        <v>0.70483276469913347</v>
      </c>
      <c r="P58" s="12">
        <v>50</v>
      </c>
      <c r="Q58" s="12">
        <v>300</v>
      </c>
      <c r="R58" s="12">
        <f>(Table1[[#This Row],[b]]*(Table1[[#This Row],[d]]^2))/6</f>
        <v>750000</v>
      </c>
      <c r="S58" s="12">
        <f>Table1[[#This Row],[b]]*Table1[[#This Row],[d]]</f>
        <v>15000</v>
      </c>
      <c r="T58" s="12">
        <v>1000</v>
      </c>
    </row>
    <row r="59" spans="1:23" x14ac:dyDescent="0.25">
      <c r="A59" s="12">
        <v>1000</v>
      </c>
      <c r="B59" s="12">
        <v>400</v>
      </c>
      <c r="C59" s="12">
        <v>60</v>
      </c>
      <c r="D59" s="12">
        <v>60</v>
      </c>
      <c r="E59" s="12">
        <f>(Table1[[#This Row],[Load(p)]]*Table1[[#This Row],[x]])/Table1[[#This Row],[l]]</f>
        <v>400</v>
      </c>
      <c r="F59" s="12">
        <f>(Table1[[#This Row],[Load(p)]]*(Table1[[#This Row],[l]]-Table1[[#This Row],[x]])/Table1[[#This Row],[l]])</f>
        <v>600</v>
      </c>
      <c r="G59" s="12">
        <f>(((2*Table1[[#This Row],[x]])-Table1[[#This Row],[l]])*(Table1[[#This Row],[Load(p)]]*Table1[[#This Row],[c]]))/Table1[[#This Row],[l]]</f>
        <v>-12000</v>
      </c>
      <c r="H59" s="12">
        <f>(((2*Table1[[#This Row],[x]])-Table1[[#This Row],[l]])*(Table1[[#This Row],[Load(p)]]))/Table1[[#This Row],[l]]</f>
        <v>-200</v>
      </c>
      <c r="I59" s="12">
        <f>Table1[[#This Row],[Load(p)]]*((Table1[[#This Row],[l]]-Table1[[#This Row],[x]])/Table1[[#This Row],[l]])</f>
        <v>600</v>
      </c>
      <c r="J59" s="12">
        <f>Table1[[#This Row],[Load(p)]]*(Table1[[#This Row],[x]]/Table1[[#This Row],[l]])</f>
        <v>400</v>
      </c>
      <c r="K59" s="12">
        <f>Table1[[#This Row],[BM]]/Table1[[#This Row],[Z]]</f>
        <v>-1.6E-2</v>
      </c>
      <c r="L59" s="12">
        <f>Table1[[#This Row],[SF]]/Table1[[#This Row],[bd]]</f>
        <v>-1.3333333333333334E-2</v>
      </c>
      <c r="M59" s="12">
        <f t="shared" si="6"/>
        <v>-0.21966989588730454</v>
      </c>
      <c r="N59" s="12">
        <f>(Table1[[#This Row],[Shear Stress]])*SQRT(PI()*Table1[[#This Row],[a]])</f>
        <v>-0.1830582465727538</v>
      </c>
      <c r="O59" s="12">
        <f t="shared" si="7"/>
        <v>0.55771587675260903</v>
      </c>
      <c r="P59" s="12">
        <v>50</v>
      </c>
      <c r="Q59" s="12">
        <v>300</v>
      </c>
      <c r="R59" s="12">
        <f>(Table1[[#This Row],[b]]*(Table1[[#This Row],[d]]^2))/6</f>
        <v>750000</v>
      </c>
      <c r="S59" s="12">
        <f>Table1[[#This Row],[b]]*Table1[[#This Row],[d]]</f>
        <v>15000</v>
      </c>
      <c r="T59" s="12">
        <v>1000</v>
      </c>
    </row>
    <row r="60" spans="1:23" x14ac:dyDescent="0.25">
      <c r="A60" s="12">
        <v>1000</v>
      </c>
      <c r="B60" s="12">
        <v>400</v>
      </c>
      <c r="C60" s="12">
        <v>65</v>
      </c>
      <c r="D60" s="12">
        <v>60</v>
      </c>
      <c r="E60" s="12">
        <f>(Table1[[#This Row],[Load(p)]]*Table1[[#This Row],[x]])/Table1[[#This Row],[l]]</f>
        <v>400</v>
      </c>
      <c r="F60" s="12">
        <f>(Table1[[#This Row],[Load(p)]]*(Table1[[#This Row],[l]]-Table1[[#This Row],[x]])/Table1[[#This Row],[l]])</f>
        <v>600</v>
      </c>
      <c r="G60" s="12">
        <f>(((2*Table1[[#This Row],[x]])-Table1[[#This Row],[l]])*(Table1[[#This Row],[Load(p)]]*Table1[[#This Row],[c]]))/Table1[[#This Row],[l]]</f>
        <v>-13000</v>
      </c>
      <c r="H60" s="12">
        <f>(((2*Table1[[#This Row],[x]])-Table1[[#This Row],[l]])*(Table1[[#This Row],[Load(p)]]))/Table1[[#This Row],[l]]</f>
        <v>-200</v>
      </c>
      <c r="I60" s="12">
        <f>Table1[[#This Row],[Load(p)]]*((Table1[[#This Row],[l]]-Table1[[#This Row],[x]])/Table1[[#This Row],[l]])</f>
        <v>600</v>
      </c>
      <c r="J60" s="12">
        <f>Table1[[#This Row],[Load(p)]]*(Table1[[#This Row],[x]]/Table1[[#This Row],[l]])</f>
        <v>400</v>
      </c>
      <c r="K60" s="12">
        <f>Table1[[#This Row],[BM]]/Table1[[#This Row],[Z]]</f>
        <v>-1.7333333333333333E-2</v>
      </c>
      <c r="L60" s="12">
        <f>Table1[[#This Row],[SF]]/Table1[[#This Row],[bd]]</f>
        <v>-1.3333333333333334E-2</v>
      </c>
      <c r="M60" s="12">
        <f t="shared" si="6"/>
        <v>-0.23797572054457991</v>
      </c>
      <c r="N60" s="12">
        <f>(Table1[[#This Row],[Shear Stress]])*SQRT(PI()*Table1[[#This Row],[a]])</f>
        <v>-0.1830582465727538</v>
      </c>
      <c r="O60" s="12">
        <f t="shared" si="7"/>
        <v>0.58257119967969451</v>
      </c>
      <c r="P60" s="12">
        <v>50</v>
      </c>
      <c r="Q60" s="12">
        <v>300</v>
      </c>
      <c r="R60" s="12">
        <f>(Table1[[#This Row],[b]]*(Table1[[#This Row],[d]]^2))/6</f>
        <v>750000</v>
      </c>
      <c r="S60" s="12">
        <f>Table1[[#This Row],[b]]*Table1[[#This Row],[d]]</f>
        <v>15000</v>
      </c>
      <c r="T60" s="12">
        <v>1000</v>
      </c>
    </row>
    <row r="61" spans="1:23" x14ac:dyDescent="0.25">
      <c r="A61" s="12">
        <v>1000</v>
      </c>
      <c r="B61" s="12">
        <v>400</v>
      </c>
      <c r="C61" s="12">
        <v>66</v>
      </c>
      <c r="D61" s="12">
        <v>60</v>
      </c>
      <c r="E61" s="12">
        <f>(Table1[[#This Row],[Load(p)]]*Table1[[#This Row],[x]])/Table1[[#This Row],[l]]</f>
        <v>400</v>
      </c>
      <c r="F61" s="12">
        <f>(Table1[[#This Row],[Load(p)]]*(Table1[[#This Row],[l]]-Table1[[#This Row],[x]])/Table1[[#This Row],[l]])</f>
        <v>600</v>
      </c>
      <c r="G61" s="12">
        <f>(((2*Table1[[#This Row],[x]])-Table1[[#This Row],[l]])*(Table1[[#This Row],[Load(p)]]*Table1[[#This Row],[c]]))/Table1[[#This Row],[l]]</f>
        <v>-13200</v>
      </c>
      <c r="H61" s="12">
        <f>(((2*Table1[[#This Row],[x]])-Table1[[#This Row],[l]])*(Table1[[#This Row],[Load(p)]]))/Table1[[#This Row],[l]]</f>
        <v>-200</v>
      </c>
      <c r="I61" s="12">
        <f>Table1[[#This Row],[Load(p)]]*((Table1[[#This Row],[l]]-Table1[[#This Row],[x]])/Table1[[#This Row],[l]])</f>
        <v>600</v>
      </c>
      <c r="J61" s="12">
        <f>Table1[[#This Row],[Load(p)]]*(Table1[[#This Row],[x]]/Table1[[#This Row],[l]])</f>
        <v>400</v>
      </c>
      <c r="K61" s="12">
        <f>Table1[[#This Row],[BM]]/Table1[[#This Row],[Z]]</f>
        <v>-1.7600000000000001E-2</v>
      </c>
      <c r="L61" s="12">
        <f>Table1[[#This Row],[SF]]/Table1[[#This Row],[bd]]</f>
        <v>-1.3333333333333334E-2</v>
      </c>
      <c r="M61" s="12">
        <f t="shared" si="6"/>
        <v>-0.24163688547603501</v>
      </c>
      <c r="N61" s="12">
        <f>(Table1[[#This Row],[Shear Stress]])*SQRT(PI()*Table1[[#This Row],[a]])</f>
        <v>-0.1830582465727538</v>
      </c>
      <c r="O61" s="12">
        <f t="shared" si="7"/>
        <v>0.58725903668864687</v>
      </c>
      <c r="P61" s="12">
        <v>50</v>
      </c>
      <c r="Q61" s="12">
        <v>300</v>
      </c>
      <c r="R61" s="12">
        <f>(Table1[[#This Row],[b]]*(Table1[[#This Row],[d]]^2))/6</f>
        <v>750000</v>
      </c>
      <c r="S61" s="12">
        <f>Table1[[#This Row],[b]]*Table1[[#This Row],[d]]</f>
        <v>15000</v>
      </c>
      <c r="T61" s="12">
        <v>1000</v>
      </c>
    </row>
    <row r="62" spans="1:23" x14ac:dyDescent="0.25">
      <c r="A62" s="12">
        <v>1000</v>
      </c>
      <c r="B62" s="12">
        <v>400</v>
      </c>
      <c r="C62" s="12">
        <v>67</v>
      </c>
      <c r="D62" s="12">
        <v>60</v>
      </c>
      <c r="E62" s="12">
        <f>(Table1[[#This Row],[Load(p)]]*Table1[[#This Row],[x]])/Table1[[#This Row],[l]]</f>
        <v>400</v>
      </c>
      <c r="F62" s="12">
        <f>(Table1[[#This Row],[Load(p)]]*(Table1[[#This Row],[l]]-Table1[[#This Row],[x]])/Table1[[#This Row],[l]])</f>
        <v>600</v>
      </c>
      <c r="G62" s="12">
        <f>(((2*Table1[[#This Row],[x]])-Table1[[#This Row],[l]])*(Table1[[#This Row],[Load(p)]]*Table1[[#This Row],[c]]))/Table1[[#This Row],[l]]</f>
        <v>-13400</v>
      </c>
      <c r="H62" s="12">
        <f>(((2*Table1[[#This Row],[x]])-Table1[[#This Row],[l]])*(Table1[[#This Row],[Load(p)]]))/Table1[[#This Row],[l]]</f>
        <v>-200</v>
      </c>
      <c r="I62" s="12">
        <f>Table1[[#This Row],[Load(p)]]*((Table1[[#This Row],[l]]-Table1[[#This Row],[x]])/Table1[[#This Row],[l]])</f>
        <v>600</v>
      </c>
      <c r="J62" s="12">
        <f>Table1[[#This Row],[Load(p)]]*(Table1[[#This Row],[x]]/Table1[[#This Row],[l]])</f>
        <v>400</v>
      </c>
      <c r="K62" s="12">
        <f>Table1[[#This Row],[BM]]/Table1[[#This Row],[Z]]</f>
        <v>-1.7866666666666666E-2</v>
      </c>
      <c r="L62" s="12">
        <f>Table1[[#This Row],[SF]]/Table1[[#This Row],[bd]]</f>
        <v>-1.3333333333333334E-2</v>
      </c>
      <c r="M62" s="12">
        <f t="shared" si="6"/>
        <v>-0.24529805040749006</v>
      </c>
      <c r="N62" s="12">
        <f>(Table1[[#This Row],[Shear Stress]])*SQRT(PI()*Table1[[#This Row],[a]])</f>
        <v>-0.1830582465727538</v>
      </c>
      <c r="O62" s="12">
        <f t="shared" si="7"/>
        <v>0.59185748150567374</v>
      </c>
      <c r="P62" s="12">
        <v>50</v>
      </c>
      <c r="Q62" s="12">
        <v>300</v>
      </c>
      <c r="R62" s="12">
        <f>(Table1[[#This Row],[b]]*(Table1[[#This Row],[d]]^2))/6</f>
        <v>750000</v>
      </c>
      <c r="S62" s="12">
        <f>Table1[[#This Row],[b]]*Table1[[#This Row],[d]]</f>
        <v>15000</v>
      </c>
      <c r="T62" s="12">
        <v>1000</v>
      </c>
    </row>
    <row r="63" spans="1:23" x14ac:dyDescent="0.25">
      <c r="A63" s="12">
        <v>1000</v>
      </c>
      <c r="B63" s="12">
        <v>400</v>
      </c>
      <c r="C63" s="12">
        <v>67.25</v>
      </c>
      <c r="D63" s="12">
        <v>60</v>
      </c>
      <c r="E63" s="12">
        <f>(Table1[[#This Row],[Load(p)]]*Table1[[#This Row],[x]])/Table1[[#This Row],[l]]</f>
        <v>400</v>
      </c>
      <c r="F63" s="12">
        <f>(Table1[[#This Row],[Load(p)]]*(Table1[[#This Row],[l]]-Table1[[#This Row],[x]])/Table1[[#This Row],[l]])</f>
        <v>600</v>
      </c>
      <c r="G63" s="12">
        <f>(((2*Table1[[#This Row],[x]])-Table1[[#This Row],[l]])*(Table1[[#This Row],[Load(p)]]*Table1[[#This Row],[c]]))/Table1[[#This Row],[l]]</f>
        <v>-13450</v>
      </c>
      <c r="H63" s="12">
        <f>(((2*Table1[[#This Row],[x]])-Table1[[#This Row],[l]])*(Table1[[#This Row],[Load(p)]]))/Table1[[#This Row],[l]]</f>
        <v>-200</v>
      </c>
      <c r="I63" s="12">
        <f>Table1[[#This Row],[Load(p)]]*((Table1[[#This Row],[l]]-Table1[[#This Row],[x]])/Table1[[#This Row],[l]])</f>
        <v>600</v>
      </c>
      <c r="J63" s="12">
        <f>Table1[[#This Row],[Load(p)]]*(Table1[[#This Row],[x]]/Table1[[#This Row],[l]])</f>
        <v>400</v>
      </c>
      <c r="K63" s="12">
        <f>Table1[[#This Row],[BM]]/Table1[[#This Row],[Z]]</f>
        <v>-1.7933333333333332E-2</v>
      </c>
      <c r="L63" s="12">
        <f>Table1[[#This Row],[SF]]/Table1[[#This Row],[bd]]</f>
        <v>-1.3333333333333334E-2</v>
      </c>
      <c r="M63" s="12">
        <f t="shared" si="6"/>
        <v>-0.24621334164035383</v>
      </c>
      <c r="N63" s="12">
        <f>(Table1[[#This Row],[Shear Stress]])*SQRT(PI()*Table1[[#This Row],[a]])</f>
        <v>-0.1830582465727538</v>
      </c>
      <c r="O63" s="12">
        <f t="shared" si="7"/>
        <v>0.59299336827154459</v>
      </c>
      <c r="P63" s="12">
        <v>50</v>
      </c>
      <c r="Q63" s="12">
        <v>300</v>
      </c>
      <c r="R63" s="12">
        <f>(Table1[[#This Row],[b]]*(Table1[[#This Row],[d]]^2))/6</f>
        <v>750000</v>
      </c>
      <c r="S63" s="12">
        <f>Table1[[#This Row],[b]]*Table1[[#This Row],[d]]</f>
        <v>15000</v>
      </c>
      <c r="T63" s="12">
        <v>1000</v>
      </c>
    </row>
    <row r="64" spans="1:23" x14ac:dyDescent="0.25">
      <c r="A64" s="12">
        <v>1000</v>
      </c>
      <c r="B64" s="12">
        <v>400</v>
      </c>
      <c r="C64" s="12">
        <v>67.5</v>
      </c>
      <c r="D64" s="12">
        <v>60</v>
      </c>
      <c r="E64" s="12">
        <f>(Table1[[#This Row],[Load(p)]]*Table1[[#This Row],[x]])/Table1[[#This Row],[l]]</f>
        <v>400</v>
      </c>
      <c r="F64" s="12">
        <f>(Table1[[#This Row],[Load(p)]]*(Table1[[#This Row],[l]]-Table1[[#This Row],[x]])/Table1[[#This Row],[l]])</f>
        <v>600</v>
      </c>
      <c r="G64" s="12">
        <f>(((2*Table1[[#This Row],[x]])-Table1[[#This Row],[l]])*(Table1[[#This Row],[Load(p)]]*Table1[[#This Row],[c]]))/Table1[[#This Row],[l]]</f>
        <v>-13500</v>
      </c>
      <c r="H64" s="12">
        <f>(((2*Table1[[#This Row],[x]])-Table1[[#This Row],[l]])*(Table1[[#This Row],[Load(p)]]))/Table1[[#This Row],[l]]</f>
        <v>-200</v>
      </c>
      <c r="I64" s="12">
        <f>Table1[[#This Row],[Load(p)]]*((Table1[[#This Row],[l]]-Table1[[#This Row],[x]])/Table1[[#This Row],[l]])</f>
        <v>600</v>
      </c>
      <c r="J64" s="12">
        <f>Table1[[#This Row],[Load(p)]]*(Table1[[#This Row],[x]]/Table1[[#This Row],[l]])</f>
        <v>400</v>
      </c>
      <c r="K64" s="12">
        <f>Table1[[#This Row],[BM]]/Table1[[#This Row],[Z]]</f>
        <v>-1.7999999999999999E-2</v>
      </c>
      <c r="L64" s="12">
        <f>Table1[[#This Row],[SF]]/Table1[[#This Row],[bd]]</f>
        <v>-1.3333333333333334E-2</v>
      </c>
      <c r="M64" s="12">
        <f t="shared" si="6"/>
        <v>-0.24712863287321757</v>
      </c>
      <c r="N64" s="12">
        <f>(Table1[[#This Row],[Shear Stress]])*SQRT(PI()*Table1[[#This Row],[a]])</f>
        <v>-0.1830582465727538</v>
      </c>
      <c r="O64" s="12">
        <f t="shared" si="7"/>
        <v>0.59412382925572027</v>
      </c>
      <c r="P64" s="12">
        <v>50</v>
      </c>
      <c r="Q64" s="12">
        <v>300</v>
      </c>
      <c r="R64" s="12">
        <f>(Table1[[#This Row],[b]]*(Table1[[#This Row],[d]]^2))/6</f>
        <v>750000</v>
      </c>
      <c r="S64" s="12">
        <f>Table1[[#This Row],[b]]*Table1[[#This Row],[d]]</f>
        <v>15000</v>
      </c>
      <c r="T64" s="12">
        <v>1000</v>
      </c>
    </row>
    <row r="65" spans="1:23" x14ac:dyDescent="0.25">
      <c r="A65" s="12">
        <v>1000</v>
      </c>
      <c r="B65" s="12">
        <v>400</v>
      </c>
      <c r="C65" s="12">
        <v>67.75</v>
      </c>
      <c r="D65" s="12">
        <v>60</v>
      </c>
      <c r="E65" s="12">
        <f>(Table1[[#This Row],[Load(p)]]*Table1[[#This Row],[x]])/Table1[[#This Row],[l]]</f>
        <v>400</v>
      </c>
      <c r="F65" s="12">
        <f>(Table1[[#This Row],[Load(p)]]*(Table1[[#This Row],[l]]-Table1[[#This Row],[x]])/Table1[[#This Row],[l]])</f>
        <v>600</v>
      </c>
      <c r="G65" s="12">
        <f>(((2*Table1[[#This Row],[x]])-Table1[[#This Row],[l]])*(Table1[[#This Row],[Load(p)]]*Table1[[#This Row],[c]]))/Table1[[#This Row],[l]]</f>
        <v>-13550</v>
      </c>
      <c r="H65" s="12">
        <f>(((2*Table1[[#This Row],[x]])-Table1[[#This Row],[l]])*(Table1[[#This Row],[Load(p)]]))/Table1[[#This Row],[l]]</f>
        <v>-200</v>
      </c>
      <c r="I65" s="12">
        <f>Table1[[#This Row],[Load(p)]]*((Table1[[#This Row],[l]]-Table1[[#This Row],[x]])/Table1[[#This Row],[l]])</f>
        <v>600</v>
      </c>
      <c r="J65" s="12">
        <f>Table1[[#This Row],[Load(p)]]*(Table1[[#This Row],[x]]/Table1[[#This Row],[l]])</f>
        <v>400</v>
      </c>
      <c r="K65" s="12">
        <f>Table1[[#This Row],[BM]]/Table1[[#This Row],[Z]]</f>
        <v>-1.8066666666666668E-2</v>
      </c>
      <c r="L65" s="12">
        <f>Table1[[#This Row],[SF]]/Table1[[#This Row],[bd]]</f>
        <v>-1.3333333333333334E-2</v>
      </c>
      <c r="M65" s="12">
        <f t="shared" si="6"/>
        <v>-0.24804392410608139</v>
      </c>
      <c r="N65" s="12">
        <f>(Table1[[#This Row],[Shear Stress]])*SQRT(PI()*Table1[[#This Row],[a]])</f>
        <v>-0.1830582465727538</v>
      </c>
      <c r="O65" s="12">
        <f t="shared" si="7"/>
        <v>0.59524889616322052</v>
      </c>
      <c r="P65" s="12">
        <v>50</v>
      </c>
      <c r="Q65" s="12">
        <v>300</v>
      </c>
      <c r="R65" s="12">
        <f>(Table1[[#This Row],[b]]*(Table1[[#This Row],[d]]^2))/6</f>
        <v>750000</v>
      </c>
      <c r="S65" s="12">
        <f>Table1[[#This Row],[b]]*Table1[[#This Row],[d]]</f>
        <v>15000</v>
      </c>
      <c r="T65" s="12">
        <v>1000</v>
      </c>
    </row>
    <row r="66" spans="1:23" x14ac:dyDescent="0.25">
      <c r="A66" s="12">
        <v>1000</v>
      </c>
      <c r="B66" s="12">
        <v>400</v>
      </c>
      <c r="C66" s="12">
        <v>68</v>
      </c>
      <c r="D66" s="12">
        <v>60</v>
      </c>
      <c r="E66" s="12">
        <f>(Table1[[#This Row],[Load(p)]]*Table1[[#This Row],[x]])/Table1[[#This Row],[l]]</f>
        <v>400</v>
      </c>
      <c r="F66" s="12">
        <f>(Table1[[#This Row],[Load(p)]]*(Table1[[#This Row],[l]]-Table1[[#This Row],[x]])/Table1[[#This Row],[l]])</f>
        <v>600</v>
      </c>
      <c r="G66" s="12">
        <f>(((2*Table1[[#This Row],[x]])-Table1[[#This Row],[l]])*(Table1[[#This Row],[Load(p)]]*Table1[[#This Row],[c]]))/Table1[[#This Row],[l]]</f>
        <v>-13600</v>
      </c>
      <c r="H66" s="12">
        <f>(((2*Table1[[#This Row],[x]])-Table1[[#This Row],[l]])*(Table1[[#This Row],[Load(p)]]))/Table1[[#This Row],[l]]</f>
        <v>-200</v>
      </c>
      <c r="I66" s="12">
        <f>Table1[[#This Row],[Load(p)]]*((Table1[[#This Row],[l]]-Table1[[#This Row],[x]])/Table1[[#This Row],[l]])</f>
        <v>600</v>
      </c>
      <c r="J66" s="12">
        <f>Table1[[#This Row],[Load(p)]]*(Table1[[#This Row],[x]]/Table1[[#This Row],[l]])</f>
        <v>400</v>
      </c>
      <c r="K66" s="12">
        <f>Table1[[#This Row],[BM]]/Table1[[#This Row],[Z]]</f>
        <v>-1.8133333333333335E-2</v>
      </c>
      <c r="L66" s="12">
        <f>Table1[[#This Row],[SF]]/Table1[[#This Row],[bd]]</f>
        <v>-1.3333333333333334E-2</v>
      </c>
      <c r="M66" s="12">
        <f t="shared" si="6"/>
        <v>-0.24895921533894516</v>
      </c>
      <c r="N66" s="12">
        <f>(Table1[[#This Row],[Shear Stress]])*SQRT(PI()*Table1[[#This Row],[a]])</f>
        <v>-0.1830582465727538</v>
      </c>
      <c r="O66" s="12">
        <f t="shared" si="7"/>
        <v>0.59636860053199747</v>
      </c>
      <c r="P66" s="12">
        <v>50</v>
      </c>
      <c r="Q66" s="12">
        <v>300</v>
      </c>
      <c r="R66" s="12">
        <f>(Table1[[#This Row],[b]]*(Table1[[#This Row],[d]]^2))/6</f>
        <v>750000</v>
      </c>
      <c r="S66" s="12">
        <f>Table1[[#This Row],[b]]*Table1[[#This Row],[d]]</f>
        <v>15000</v>
      </c>
      <c r="T66" s="12">
        <v>1000</v>
      </c>
    </row>
    <row r="67" spans="1:23" x14ac:dyDescent="0.25">
      <c r="A67" s="12">
        <v>1000</v>
      </c>
      <c r="B67" s="12">
        <v>400</v>
      </c>
      <c r="C67" s="12">
        <v>68.25</v>
      </c>
      <c r="D67" s="12">
        <v>60</v>
      </c>
      <c r="E67" s="12">
        <f>(Table1[[#This Row],[Load(p)]]*Table1[[#This Row],[x]])/Table1[[#This Row],[l]]</f>
        <v>400</v>
      </c>
      <c r="F67" s="12">
        <f>(Table1[[#This Row],[Load(p)]]*(Table1[[#This Row],[l]]-Table1[[#This Row],[x]])/Table1[[#This Row],[l]])</f>
        <v>600</v>
      </c>
      <c r="G67" s="12">
        <f>(((2*Table1[[#This Row],[x]])-Table1[[#This Row],[l]])*(Table1[[#This Row],[Load(p)]]*Table1[[#This Row],[c]]))/Table1[[#This Row],[l]]</f>
        <v>-13650</v>
      </c>
      <c r="H67" s="12">
        <f>(((2*Table1[[#This Row],[x]])-Table1[[#This Row],[l]])*(Table1[[#This Row],[Load(p)]]))/Table1[[#This Row],[l]]</f>
        <v>-200</v>
      </c>
      <c r="I67" s="12">
        <f>Table1[[#This Row],[Load(p)]]*((Table1[[#This Row],[l]]-Table1[[#This Row],[x]])/Table1[[#This Row],[l]])</f>
        <v>600</v>
      </c>
      <c r="J67" s="12">
        <f>Table1[[#This Row],[Load(p)]]*(Table1[[#This Row],[x]]/Table1[[#This Row],[l]])</f>
        <v>400</v>
      </c>
      <c r="K67" s="12">
        <f>Table1[[#This Row],[BM]]/Table1[[#This Row],[Z]]</f>
        <v>-1.8200000000000001E-2</v>
      </c>
      <c r="L67" s="12">
        <f>Table1[[#This Row],[SF]]/Table1[[#This Row],[bd]]</f>
        <v>-1.3333333333333334E-2</v>
      </c>
      <c r="M67" s="12">
        <f t="shared" si="6"/>
        <v>-0.24987450657180893</v>
      </c>
      <c r="N67" s="12">
        <f>(Table1[[#This Row],[Shear Stress]])*SQRT(PI()*Table1[[#This Row],[a]])</f>
        <v>-0.1830582465727538</v>
      </c>
      <c r="O67" s="12">
        <f t="shared" si="7"/>
        <v>0.59748297373278869</v>
      </c>
      <c r="P67" s="12">
        <v>50</v>
      </c>
      <c r="Q67" s="12">
        <v>300</v>
      </c>
      <c r="R67" s="12">
        <f>(Table1[[#This Row],[b]]*(Table1[[#This Row],[d]]^2))/6</f>
        <v>750000</v>
      </c>
      <c r="S67" s="12">
        <f>Table1[[#This Row],[b]]*Table1[[#This Row],[d]]</f>
        <v>15000</v>
      </c>
      <c r="T67" s="12">
        <v>1000</v>
      </c>
    </row>
    <row r="68" spans="1:23" x14ac:dyDescent="0.25">
      <c r="A68" s="13">
        <v>1000</v>
      </c>
      <c r="B68" s="13">
        <v>400</v>
      </c>
      <c r="C68" s="13">
        <v>68.5</v>
      </c>
      <c r="D68" s="13">
        <v>60</v>
      </c>
      <c r="E68" s="13">
        <f>(Table1[[#This Row],[Load(p)]]*Table1[[#This Row],[x]])/Table1[[#This Row],[l]]</f>
        <v>400</v>
      </c>
      <c r="F68" s="13">
        <f>(Table1[[#This Row],[Load(p)]]*(Table1[[#This Row],[l]]-Table1[[#This Row],[x]])/Table1[[#This Row],[l]])</f>
        <v>600</v>
      </c>
      <c r="G68" s="13">
        <f>(((2*Table1[[#This Row],[x]])-Table1[[#This Row],[l]])*(Table1[[#This Row],[Load(p)]]*Table1[[#This Row],[c]]))/Table1[[#This Row],[l]]</f>
        <v>-13700</v>
      </c>
      <c r="H68" s="13">
        <f>(((2*Table1[[#This Row],[x]])-Table1[[#This Row],[l]])*(Table1[[#This Row],[Load(p)]]))/Table1[[#This Row],[l]]</f>
        <v>-200</v>
      </c>
      <c r="I68" s="13">
        <f>Table1[[#This Row],[Load(p)]]*((Table1[[#This Row],[l]]-Table1[[#This Row],[x]])/Table1[[#This Row],[l]])</f>
        <v>600</v>
      </c>
      <c r="J68" s="13">
        <f>Table1[[#This Row],[Load(p)]]*(Table1[[#This Row],[x]]/Table1[[#This Row],[l]])</f>
        <v>400</v>
      </c>
      <c r="K68" s="13">
        <f>Table1[[#This Row],[BM]]/Table1[[#This Row],[Z]]</f>
        <v>-1.8266666666666667E-2</v>
      </c>
      <c r="L68" s="13">
        <f>Table1[[#This Row],[SF]]/Table1[[#This Row],[bd]]</f>
        <v>-1.3333333333333334E-2</v>
      </c>
      <c r="M68" s="13">
        <f t="shared" si="6"/>
        <v>-0.2507897978046727</v>
      </c>
      <c r="N68" s="13">
        <f>(Table1[[#This Row],[Shear Stress]])*SQRT(PI()*Table1[[#This Row],[a]])</f>
        <v>-0.1830582465727538</v>
      </c>
      <c r="O68" s="13">
        <f t="shared" si="7"/>
        <v>0.59859204696900092</v>
      </c>
      <c r="P68" s="13">
        <v>50</v>
      </c>
      <c r="Q68" s="13">
        <v>300</v>
      </c>
      <c r="R68" s="13">
        <f>(Table1[[#This Row],[b]]*(Table1[[#This Row],[d]]^2))/6</f>
        <v>750000</v>
      </c>
      <c r="S68" s="13">
        <f>Table1[[#This Row],[b]]*Table1[[#This Row],[d]]</f>
        <v>15000</v>
      </c>
      <c r="T68" s="13">
        <v>1000</v>
      </c>
      <c r="U68" s="27" t="s">
        <v>19</v>
      </c>
      <c r="V68" s="27"/>
      <c r="W68" s="27"/>
    </row>
    <row r="69" spans="1:23" ht="15" customHeight="1" x14ac:dyDescent="0.25">
      <c r="A69" s="14">
        <v>1000</v>
      </c>
      <c r="B69" s="15">
        <v>400</v>
      </c>
      <c r="C69" s="15">
        <v>68.75</v>
      </c>
      <c r="D69" s="15">
        <v>60</v>
      </c>
      <c r="E69" s="15">
        <f>(Table1[[#This Row],[Load(p)]]*Table1[[#This Row],[x]])/Table1[[#This Row],[l]]</f>
        <v>400</v>
      </c>
      <c r="F69" s="15">
        <f>(Table1[[#This Row],[Load(p)]]*(Table1[[#This Row],[l]]-Table1[[#This Row],[x]])/Table1[[#This Row],[l]])</f>
        <v>600</v>
      </c>
      <c r="G69" s="15">
        <f>(((2*Table1[[#This Row],[x]])-Table1[[#This Row],[l]])*(Table1[[#This Row],[Load(p)]]*Table1[[#This Row],[c]]))/Table1[[#This Row],[l]]</f>
        <v>-13750</v>
      </c>
      <c r="H69" s="15">
        <f>(((2*Table1[[#This Row],[x]])-Table1[[#This Row],[l]])*(Table1[[#This Row],[Load(p)]]))/Table1[[#This Row],[l]]</f>
        <v>-200</v>
      </c>
      <c r="I69" s="15">
        <f>Table1[[#This Row],[Load(p)]]*((Table1[[#This Row],[l]]-Table1[[#This Row],[x]])/Table1[[#This Row],[l]])</f>
        <v>600</v>
      </c>
      <c r="J69" s="15">
        <f>Table1[[#This Row],[Load(p)]]*(Table1[[#This Row],[x]]/Table1[[#This Row],[l]])</f>
        <v>400</v>
      </c>
      <c r="K69" s="15">
        <f>Table1[[#This Row],[BM]]/Table1[[#This Row],[Z]]</f>
        <v>-1.8333333333333333E-2</v>
      </c>
      <c r="L69" s="15">
        <f>Table1[[#This Row],[SF]]/Table1[[#This Row],[bd]]</f>
        <v>-1.3333333333333334E-2</v>
      </c>
      <c r="M69" s="15">
        <f t="shared" si="6"/>
        <v>-0.25170508903753647</v>
      </c>
      <c r="N69" s="15">
        <f>(Table1[[#This Row],[Shear Stress]])*SQRT(PI()*Table1[[#This Row],[a]])</f>
        <v>-0.1830582465727538</v>
      </c>
      <c r="O69" s="15">
        <f t="shared" si="7"/>
        <v>0.59969585127662661</v>
      </c>
      <c r="P69" s="15">
        <v>50</v>
      </c>
      <c r="Q69" s="15">
        <v>300</v>
      </c>
      <c r="R69" s="15">
        <f>(Table1[[#This Row],[b]]*(Table1[[#This Row],[d]]^2))/6</f>
        <v>750000</v>
      </c>
      <c r="S69" s="15">
        <f>Table1[[#This Row],[b]]*Table1[[#This Row],[d]]</f>
        <v>15000</v>
      </c>
      <c r="T69" s="16">
        <v>1000</v>
      </c>
      <c r="U69" s="27"/>
      <c r="V69" s="27"/>
      <c r="W69" s="27"/>
    </row>
    <row r="70" spans="1:23" x14ac:dyDescent="0.25">
      <c r="A70" s="14">
        <v>1000</v>
      </c>
      <c r="B70" s="15">
        <v>400</v>
      </c>
      <c r="C70" s="15">
        <v>69</v>
      </c>
      <c r="D70" s="15">
        <v>60</v>
      </c>
      <c r="E70" s="15">
        <f>(Table1[[#This Row],[Load(p)]]*Table1[[#This Row],[x]])/Table1[[#This Row],[l]]</f>
        <v>400</v>
      </c>
      <c r="F70" s="15">
        <f>(Table1[[#This Row],[Load(p)]]*(Table1[[#This Row],[l]]-Table1[[#This Row],[x]])/Table1[[#This Row],[l]])</f>
        <v>600</v>
      </c>
      <c r="G70" s="15">
        <f>(((2*Table1[[#This Row],[x]])-Table1[[#This Row],[l]])*(Table1[[#This Row],[Load(p)]]*Table1[[#This Row],[c]]))/Table1[[#This Row],[l]]</f>
        <v>-13800</v>
      </c>
      <c r="H70" s="15">
        <f>(((2*Table1[[#This Row],[x]])-Table1[[#This Row],[l]])*(Table1[[#This Row],[Load(p)]]))/Table1[[#This Row],[l]]</f>
        <v>-200</v>
      </c>
      <c r="I70" s="15">
        <f>Table1[[#This Row],[Load(p)]]*((Table1[[#This Row],[l]]-Table1[[#This Row],[x]])/Table1[[#This Row],[l]])</f>
        <v>600</v>
      </c>
      <c r="J70" s="15">
        <f>Table1[[#This Row],[Load(p)]]*(Table1[[#This Row],[x]]/Table1[[#This Row],[l]])</f>
        <v>400</v>
      </c>
      <c r="K70" s="15">
        <f>Table1[[#This Row],[BM]]/Table1[[#This Row],[Z]]</f>
        <v>-1.84E-2</v>
      </c>
      <c r="L70" s="15">
        <f>Table1[[#This Row],[SF]]/Table1[[#This Row],[bd]]</f>
        <v>-1.3333333333333334E-2</v>
      </c>
      <c r="M70" s="15">
        <f t="shared" ref="M70:M82" si="8">(K70)*SQRT(PI()*D70)</f>
        <v>-0.25262038027040024</v>
      </c>
      <c r="N70" s="15">
        <f>(Table1[[#This Row],[Shear Stress]])*SQRT(PI()*Table1[[#This Row],[a]])</f>
        <v>-0.1830582465727538</v>
      </c>
      <c r="O70" s="15">
        <f t="shared" si="7"/>
        <v>0.60079441752419072</v>
      </c>
      <c r="P70" s="15">
        <v>50</v>
      </c>
      <c r="Q70" s="15">
        <v>300</v>
      </c>
      <c r="R70" s="15">
        <f>(Table1[[#This Row],[b]]*(Table1[[#This Row],[d]]^2))/6</f>
        <v>750000</v>
      </c>
      <c r="S70" s="15">
        <f>Table1[[#This Row],[b]]*Table1[[#This Row],[d]]</f>
        <v>15000</v>
      </c>
      <c r="T70" s="16">
        <v>1000</v>
      </c>
      <c r="U70" s="27"/>
      <c r="V70" s="27"/>
      <c r="W70" s="27"/>
    </row>
    <row r="71" spans="1:23" x14ac:dyDescent="0.25">
      <c r="A71" s="14">
        <v>1000</v>
      </c>
      <c r="B71" s="15">
        <v>400</v>
      </c>
      <c r="C71" s="15">
        <v>69.25</v>
      </c>
      <c r="D71" s="15">
        <v>60</v>
      </c>
      <c r="E71" s="15">
        <f>(Table1[[#This Row],[Load(p)]]*Table1[[#This Row],[x]])/Table1[[#This Row],[l]]</f>
        <v>400</v>
      </c>
      <c r="F71" s="15">
        <f>(Table1[[#This Row],[Load(p)]]*(Table1[[#This Row],[l]]-Table1[[#This Row],[x]])/Table1[[#This Row],[l]])</f>
        <v>600</v>
      </c>
      <c r="G71" s="15">
        <f>(((2*Table1[[#This Row],[x]])-Table1[[#This Row],[l]])*(Table1[[#This Row],[Load(p)]]*Table1[[#This Row],[c]]))/Table1[[#This Row],[l]]</f>
        <v>-13850</v>
      </c>
      <c r="H71" s="15">
        <f>(((2*Table1[[#This Row],[x]])-Table1[[#This Row],[l]])*(Table1[[#This Row],[Load(p)]]))/Table1[[#This Row],[l]]</f>
        <v>-200</v>
      </c>
      <c r="I71" s="15">
        <f>Table1[[#This Row],[Load(p)]]*((Table1[[#This Row],[l]]-Table1[[#This Row],[x]])/Table1[[#This Row],[l]])</f>
        <v>600</v>
      </c>
      <c r="J71" s="15">
        <f>Table1[[#This Row],[Load(p)]]*(Table1[[#This Row],[x]]/Table1[[#This Row],[l]])</f>
        <v>400</v>
      </c>
      <c r="K71" s="15">
        <f>Table1[[#This Row],[BM]]/Table1[[#This Row],[Z]]</f>
        <v>-1.8466666666666666E-2</v>
      </c>
      <c r="L71" s="15">
        <f>Table1[[#This Row],[SF]]/Table1[[#This Row],[bd]]</f>
        <v>-1.3333333333333334E-2</v>
      </c>
      <c r="M71" s="15">
        <f t="shared" si="8"/>
        <v>-0.25353567150326395</v>
      </c>
      <c r="N71" s="15">
        <f>(Table1[[#This Row],[Shear Stress]])*SQRT(PI()*Table1[[#This Row],[a]])</f>
        <v>-0.1830582465727538</v>
      </c>
      <c r="O71" s="15">
        <f t="shared" ref="O71:O82" si="9">(2/PI())*(ATAN((M71/N71)))</f>
        <v>0.60188777641272817</v>
      </c>
      <c r="P71" s="15">
        <v>50</v>
      </c>
      <c r="Q71" s="15">
        <v>300</v>
      </c>
      <c r="R71" s="15">
        <f>(Table1[[#This Row],[b]]*(Table1[[#This Row],[d]]^2))/6</f>
        <v>750000</v>
      </c>
      <c r="S71" s="15">
        <f>Table1[[#This Row],[b]]*Table1[[#This Row],[d]]</f>
        <v>15000</v>
      </c>
      <c r="T71" s="16">
        <v>1000</v>
      </c>
      <c r="U71" s="27"/>
      <c r="V71" s="27"/>
      <c r="W71" s="27"/>
    </row>
    <row r="72" spans="1:23" x14ac:dyDescent="0.25">
      <c r="A72" s="14">
        <v>1000</v>
      </c>
      <c r="B72" s="15">
        <v>400</v>
      </c>
      <c r="C72" s="15">
        <v>69.5</v>
      </c>
      <c r="D72" s="15">
        <v>60</v>
      </c>
      <c r="E72" s="15">
        <f>(Table1[[#This Row],[Load(p)]]*Table1[[#This Row],[x]])/Table1[[#This Row],[l]]</f>
        <v>400</v>
      </c>
      <c r="F72" s="15">
        <f>(Table1[[#This Row],[Load(p)]]*(Table1[[#This Row],[l]]-Table1[[#This Row],[x]])/Table1[[#This Row],[l]])</f>
        <v>600</v>
      </c>
      <c r="G72" s="15">
        <f>(((2*Table1[[#This Row],[x]])-Table1[[#This Row],[l]])*(Table1[[#This Row],[Load(p)]]*Table1[[#This Row],[c]]))/Table1[[#This Row],[l]]</f>
        <v>-13900</v>
      </c>
      <c r="H72" s="15">
        <f>(((2*Table1[[#This Row],[x]])-Table1[[#This Row],[l]])*(Table1[[#This Row],[Load(p)]]))/Table1[[#This Row],[l]]</f>
        <v>-200</v>
      </c>
      <c r="I72" s="15">
        <f>Table1[[#This Row],[Load(p)]]*((Table1[[#This Row],[l]]-Table1[[#This Row],[x]])/Table1[[#This Row],[l]])</f>
        <v>600</v>
      </c>
      <c r="J72" s="15">
        <f>Table1[[#This Row],[Load(p)]]*(Table1[[#This Row],[x]]/Table1[[#This Row],[l]])</f>
        <v>400</v>
      </c>
      <c r="K72" s="15">
        <f>Table1[[#This Row],[BM]]/Table1[[#This Row],[Z]]</f>
        <v>-1.8533333333333332E-2</v>
      </c>
      <c r="L72" s="15">
        <f>Table1[[#This Row],[SF]]/Table1[[#This Row],[bd]]</f>
        <v>-1.3333333333333334E-2</v>
      </c>
      <c r="M72" s="15">
        <f t="shared" si="8"/>
        <v>-0.25445096273612772</v>
      </c>
      <c r="N72" s="15">
        <f>(Table1[[#This Row],[Shear Stress]])*SQRT(PI()*Table1[[#This Row],[a]])</f>
        <v>-0.1830582465727538</v>
      </c>
      <c r="O72" s="15">
        <f t="shared" si="9"/>
        <v>0.60297595847579011</v>
      </c>
      <c r="P72" s="15">
        <v>50</v>
      </c>
      <c r="Q72" s="15">
        <v>300</v>
      </c>
      <c r="R72" s="15">
        <f>(Table1[[#This Row],[b]]*(Table1[[#This Row],[d]]^2))/6</f>
        <v>750000</v>
      </c>
      <c r="S72" s="15">
        <f>Table1[[#This Row],[b]]*Table1[[#This Row],[d]]</f>
        <v>15000</v>
      </c>
      <c r="T72" s="16">
        <v>1000</v>
      </c>
      <c r="U72" s="27"/>
      <c r="V72" s="27"/>
      <c r="W72" s="27"/>
    </row>
    <row r="73" spans="1:23" x14ac:dyDescent="0.25">
      <c r="A73" s="14">
        <v>1000</v>
      </c>
      <c r="B73" s="15">
        <v>400</v>
      </c>
      <c r="C73" s="15">
        <v>69.75</v>
      </c>
      <c r="D73" s="15">
        <v>60</v>
      </c>
      <c r="E73" s="15">
        <f>(Table1[[#This Row],[Load(p)]]*Table1[[#This Row],[x]])/Table1[[#This Row],[l]]</f>
        <v>400</v>
      </c>
      <c r="F73" s="15">
        <f>(Table1[[#This Row],[Load(p)]]*(Table1[[#This Row],[l]]-Table1[[#This Row],[x]])/Table1[[#This Row],[l]])</f>
        <v>600</v>
      </c>
      <c r="G73" s="15">
        <f>(((2*Table1[[#This Row],[x]])-Table1[[#This Row],[l]])*(Table1[[#This Row],[Load(p)]]*Table1[[#This Row],[c]]))/Table1[[#This Row],[l]]</f>
        <v>-13950</v>
      </c>
      <c r="H73" s="15">
        <f>(((2*Table1[[#This Row],[x]])-Table1[[#This Row],[l]])*(Table1[[#This Row],[Load(p)]]))/Table1[[#This Row],[l]]</f>
        <v>-200</v>
      </c>
      <c r="I73" s="15">
        <f>Table1[[#This Row],[Load(p)]]*((Table1[[#This Row],[l]]-Table1[[#This Row],[x]])/Table1[[#This Row],[l]])</f>
        <v>600</v>
      </c>
      <c r="J73" s="15">
        <f>Table1[[#This Row],[Load(p)]]*(Table1[[#This Row],[x]]/Table1[[#This Row],[l]])</f>
        <v>400</v>
      </c>
      <c r="K73" s="15">
        <f>Table1[[#This Row],[BM]]/Table1[[#This Row],[Z]]</f>
        <v>-1.8599999999999998E-2</v>
      </c>
      <c r="L73" s="15">
        <f>Table1[[#This Row],[SF]]/Table1[[#This Row],[bd]]</f>
        <v>-1.3333333333333334E-2</v>
      </c>
      <c r="M73" s="15">
        <f t="shared" si="8"/>
        <v>-0.25536625396899149</v>
      </c>
      <c r="N73" s="15">
        <f>(Table1[[#This Row],[Shear Stress]])*SQRT(PI()*Table1[[#This Row],[a]])</f>
        <v>-0.1830582465727538</v>
      </c>
      <c r="O73" s="15">
        <f t="shared" si="9"/>
        <v>0.60405899407947816</v>
      </c>
      <c r="P73" s="15">
        <v>50</v>
      </c>
      <c r="Q73" s="15">
        <v>300</v>
      </c>
      <c r="R73" s="15">
        <f>(Table1[[#This Row],[b]]*(Table1[[#This Row],[d]]^2))/6</f>
        <v>750000</v>
      </c>
      <c r="S73" s="15">
        <f>Table1[[#This Row],[b]]*Table1[[#This Row],[d]]</f>
        <v>15000</v>
      </c>
      <c r="T73" s="16">
        <v>1000</v>
      </c>
      <c r="U73" s="27"/>
      <c r="V73" s="27"/>
      <c r="W73" s="27"/>
    </row>
    <row r="74" spans="1:23" x14ac:dyDescent="0.25">
      <c r="A74" s="20">
        <v>1000</v>
      </c>
      <c r="B74" s="20">
        <v>400</v>
      </c>
      <c r="C74" s="20">
        <v>70</v>
      </c>
      <c r="D74" s="20">
        <v>60</v>
      </c>
      <c r="E74" s="20">
        <f>(Table1[[#This Row],[Load(p)]]*Table1[[#This Row],[x]])/Table1[[#This Row],[l]]</f>
        <v>400</v>
      </c>
      <c r="F74" s="20">
        <f>(Table1[[#This Row],[Load(p)]]*(Table1[[#This Row],[l]]-Table1[[#This Row],[x]])/Table1[[#This Row],[l]])</f>
        <v>600</v>
      </c>
      <c r="G74" s="20">
        <f>(((2*Table1[[#This Row],[x]])-Table1[[#This Row],[l]])*(Table1[[#This Row],[Load(p)]]*Table1[[#This Row],[c]]))/Table1[[#This Row],[l]]</f>
        <v>-14000</v>
      </c>
      <c r="H74" s="20">
        <f>(((2*Table1[[#This Row],[x]])-Table1[[#This Row],[l]])*(Table1[[#This Row],[Load(p)]]))/Table1[[#This Row],[l]]</f>
        <v>-200</v>
      </c>
      <c r="I74" s="20">
        <f>Table1[[#This Row],[Load(p)]]*((Table1[[#This Row],[l]]-Table1[[#This Row],[x]])/Table1[[#This Row],[l]])</f>
        <v>600</v>
      </c>
      <c r="J74" s="20">
        <f>Table1[[#This Row],[Load(p)]]*(Table1[[#This Row],[x]]/Table1[[#This Row],[l]])</f>
        <v>400</v>
      </c>
      <c r="K74" s="20">
        <f>Table1[[#This Row],[BM]]/Table1[[#This Row],[Z]]</f>
        <v>-1.8666666666666668E-2</v>
      </c>
      <c r="L74" s="20">
        <f>Table1[[#This Row],[SF]]/Table1[[#This Row],[bd]]</f>
        <v>-1.3333333333333334E-2</v>
      </c>
      <c r="M74" s="20">
        <f t="shared" si="8"/>
        <v>-0.25628154520185531</v>
      </c>
      <c r="N74" s="20">
        <f>(Table1[[#This Row],[Shear Stress]])*SQRT(PI()*Table1[[#This Row],[a]])</f>
        <v>-0.1830582465727538</v>
      </c>
      <c r="O74" s="20">
        <f t="shared" si="9"/>
        <v>0.60513691342250686</v>
      </c>
      <c r="P74" s="20">
        <v>50</v>
      </c>
      <c r="Q74" s="20">
        <v>300</v>
      </c>
      <c r="R74" s="20">
        <f>(Table1[[#This Row],[b]]*(Table1[[#This Row],[d]]^2))/6</f>
        <v>750000</v>
      </c>
      <c r="S74" s="20">
        <f>Table1[[#This Row],[b]]*Table1[[#This Row],[d]]</f>
        <v>15000</v>
      </c>
      <c r="T74" s="20">
        <v>1000</v>
      </c>
      <c r="U74" s="27"/>
      <c r="V74" s="27"/>
      <c r="W74" s="27"/>
    </row>
    <row r="75" spans="1:23" x14ac:dyDescent="0.25">
      <c r="A75" s="12">
        <v>1000</v>
      </c>
      <c r="B75" s="12">
        <v>400</v>
      </c>
      <c r="C75" s="12">
        <v>70.25</v>
      </c>
      <c r="D75" s="12">
        <v>60</v>
      </c>
      <c r="E75" s="12">
        <f>(Table1[[#This Row],[Load(p)]]*Table1[[#This Row],[x]])/Table1[[#This Row],[l]]</f>
        <v>400</v>
      </c>
      <c r="F75" s="12">
        <f>(Table1[[#This Row],[Load(p)]]*(Table1[[#This Row],[l]]-Table1[[#This Row],[x]])/Table1[[#This Row],[l]])</f>
        <v>600</v>
      </c>
      <c r="G75" s="12">
        <f>(((2*Table1[[#This Row],[x]])-Table1[[#This Row],[l]])*(Table1[[#This Row],[Load(p)]]*Table1[[#This Row],[c]]))/Table1[[#This Row],[l]]</f>
        <v>-14050</v>
      </c>
      <c r="H75" s="12">
        <f>(((2*Table1[[#This Row],[x]])-Table1[[#This Row],[l]])*(Table1[[#This Row],[Load(p)]]))/Table1[[#This Row],[l]]</f>
        <v>-200</v>
      </c>
      <c r="I75" s="12">
        <f>Table1[[#This Row],[Load(p)]]*((Table1[[#This Row],[l]]-Table1[[#This Row],[x]])/Table1[[#This Row],[l]])</f>
        <v>600</v>
      </c>
      <c r="J75" s="12">
        <f>Table1[[#This Row],[Load(p)]]*(Table1[[#This Row],[x]]/Table1[[#This Row],[l]])</f>
        <v>400</v>
      </c>
      <c r="K75" s="12">
        <f>Table1[[#This Row],[BM]]/Table1[[#This Row],[Z]]</f>
        <v>-1.8733333333333334E-2</v>
      </c>
      <c r="L75" s="12">
        <f>Table1[[#This Row],[SF]]/Table1[[#This Row],[bd]]</f>
        <v>-1.3333333333333334E-2</v>
      </c>
      <c r="M75" s="12">
        <f t="shared" si="8"/>
        <v>-0.25719683643471908</v>
      </c>
      <c r="N75" s="12">
        <f>(Table1[[#This Row],[Shear Stress]])*SQRT(PI()*Table1[[#This Row],[a]])</f>
        <v>-0.1830582465727538</v>
      </c>
      <c r="O75" s="12">
        <f t="shared" si="9"/>
        <v>0.60620974653629278</v>
      </c>
      <c r="P75" s="12">
        <v>50</v>
      </c>
      <c r="Q75" s="12">
        <v>300</v>
      </c>
      <c r="R75" s="12">
        <f>(Table1[[#This Row],[b]]*(Table1[[#This Row],[d]]^2))/6</f>
        <v>750000</v>
      </c>
      <c r="S75" s="12">
        <f>Table1[[#This Row],[b]]*Table1[[#This Row],[d]]</f>
        <v>15000</v>
      </c>
      <c r="T75" s="12">
        <v>1000</v>
      </c>
    </row>
    <row r="76" spans="1:23" x14ac:dyDescent="0.25">
      <c r="A76" s="12">
        <v>1000</v>
      </c>
      <c r="B76" s="12">
        <v>400</v>
      </c>
      <c r="C76" s="12">
        <v>70.5</v>
      </c>
      <c r="D76" s="12">
        <v>60</v>
      </c>
      <c r="E76" s="12">
        <f>(Table1[[#This Row],[Load(p)]]*Table1[[#This Row],[x]])/Table1[[#This Row],[l]]</f>
        <v>400</v>
      </c>
      <c r="F76" s="12">
        <f>(Table1[[#This Row],[Load(p)]]*(Table1[[#This Row],[l]]-Table1[[#This Row],[x]])/Table1[[#This Row],[l]])</f>
        <v>600</v>
      </c>
      <c r="G76" s="12">
        <f>(((2*Table1[[#This Row],[x]])-Table1[[#This Row],[l]])*(Table1[[#This Row],[Load(p)]]*Table1[[#This Row],[c]]))/Table1[[#This Row],[l]]</f>
        <v>-14100</v>
      </c>
      <c r="H76" s="12">
        <f>(((2*Table1[[#This Row],[x]])-Table1[[#This Row],[l]])*(Table1[[#This Row],[Load(p)]]))/Table1[[#This Row],[l]]</f>
        <v>-200</v>
      </c>
      <c r="I76" s="12">
        <f>Table1[[#This Row],[Load(p)]]*((Table1[[#This Row],[l]]-Table1[[#This Row],[x]])/Table1[[#This Row],[l]])</f>
        <v>600</v>
      </c>
      <c r="J76" s="12">
        <f>Table1[[#This Row],[Load(p)]]*(Table1[[#This Row],[x]]/Table1[[#This Row],[l]])</f>
        <v>400</v>
      </c>
      <c r="K76" s="12">
        <f>Table1[[#This Row],[BM]]/Table1[[#This Row],[Z]]</f>
        <v>-1.8800000000000001E-2</v>
      </c>
      <c r="L76" s="12">
        <f>Table1[[#This Row],[SF]]/Table1[[#This Row],[bd]]</f>
        <v>-1.3333333333333334E-2</v>
      </c>
      <c r="M76" s="12">
        <f t="shared" si="8"/>
        <v>-0.25811212766758285</v>
      </c>
      <c r="N76" s="12">
        <f>(Table1[[#This Row],[Shear Stress]])*SQRT(PI()*Table1[[#This Row],[a]])</f>
        <v>-0.1830582465727538</v>
      </c>
      <c r="O76" s="12">
        <f t="shared" si="9"/>
        <v>0.6072775232850689</v>
      </c>
      <c r="P76" s="12">
        <v>50</v>
      </c>
      <c r="Q76" s="12">
        <v>300</v>
      </c>
      <c r="R76" s="12">
        <f>(Table1[[#This Row],[b]]*(Table1[[#This Row],[d]]^2))/6</f>
        <v>750000</v>
      </c>
      <c r="S76" s="12">
        <f>Table1[[#This Row],[b]]*Table1[[#This Row],[d]]</f>
        <v>15000</v>
      </c>
      <c r="T76" s="12">
        <v>1000</v>
      </c>
    </row>
    <row r="77" spans="1:23" x14ac:dyDescent="0.25">
      <c r="A77" s="12">
        <v>1000</v>
      </c>
      <c r="B77" s="12">
        <v>400</v>
      </c>
      <c r="C77" s="12">
        <v>70.75</v>
      </c>
      <c r="D77" s="12">
        <v>60</v>
      </c>
      <c r="E77" s="12">
        <f>(Table1[[#This Row],[Load(p)]]*Table1[[#This Row],[x]])/Table1[[#This Row],[l]]</f>
        <v>400</v>
      </c>
      <c r="F77" s="12">
        <f>(Table1[[#This Row],[Load(p)]]*(Table1[[#This Row],[l]]-Table1[[#This Row],[x]])/Table1[[#This Row],[l]])</f>
        <v>600</v>
      </c>
      <c r="G77" s="12">
        <f>(((2*Table1[[#This Row],[x]])-Table1[[#This Row],[l]])*(Table1[[#This Row],[Load(p)]]*Table1[[#This Row],[c]]))/Table1[[#This Row],[l]]</f>
        <v>-14150</v>
      </c>
      <c r="H77" s="12">
        <f>(((2*Table1[[#This Row],[x]])-Table1[[#This Row],[l]])*(Table1[[#This Row],[Load(p)]]))/Table1[[#This Row],[l]]</f>
        <v>-200</v>
      </c>
      <c r="I77" s="12">
        <f>Table1[[#This Row],[Load(p)]]*((Table1[[#This Row],[l]]-Table1[[#This Row],[x]])/Table1[[#This Row],[l]])</f>
        <v>600</v>
      </c>
      <c r="J77" s="12">
        <f>Table1[[#This Row],[Load(p)]]*(Table1[[#This Row],[x]]/Table1[[#This Row],[l]])</f>
        <v>400</v>
      </c>
      <c r="K77" s="12">
        <f>Table1[[#This Row],[BM]]/Table1[[#This Row],[Z]]</f>
        <v>-1.8866666666666667E-2</v>
      </c>
      <c r="L77" s="12">
        <f>Table1[[#This Row],[SF]]/Table1[[#This Row],[bd]]</f>
        <v>-1.3333333333333334E-2</v>
      </c>
      <c r="M77" s="12">
        <f t="shared" si="8"/>
        <v>-0.25902741890044662</v>
      </c>
      <c r="N77" s="12">
        <f>(Table1[[#This Row],[Shear Stress]])*SQRT(PI()*Table1[[#This Row],[a]])</f>
        <v>-0.1830582465727538</v>
      </c>
      <c r="O77" s="12">
        <f t="shared" si="9"/>
        <v>0.60834027336602514</v>
      </c>
      <c r="P77" s="12">
        <v>50</v>
      </c>
      <c r="Q77" s="12">
        <v>300</v>
      </c>
      <c r="R77" s="12">
        <f>(Table1[[#This Row],[b]]*(Table1[[#This Row],[d]]^2))/6</f>
        <v>750000</v>
      </c>
      <c r="S77" s="12">
        <f>Table1[[#This Row],[b]]*Table1[[#This Row],[d]]</f>
        <v>15000</v>
      </c>
      <c r="T77" s="12">
        <v>1000</v>
      </c>
    </row>
    <row r="78" spans="1:23" x14ac:dyDescent="0.25">
      <c r="A78" s="12">
        <v>1000</v>
      </c>
      <c r="B78" s="12">
        <v>400</v>
      </c>
      <c r="C78" s="12">
        <v>71</v>
      </c>
      <c r="D78" s="12">
        <v>60</v>
      </c>
      <c r="E78" s="12">
        <f>(Table1[[#This Row],[Load(p)]]*Table1[[#This Row],[x]])/Table1[[#This Row],[l]]</f>
        <v>400</v>
      </c>
      <c r="F78" s="12">
        <f>(Table1[[#This Row],[Load(p)]]*(Table1[[#This Row],[l]]-Table1[[#This Row],[x]])/Table1[[#This Row],[l]])</f>
        <v>600</v>
      </c>
      <c r="G78" s="12">
        <f>(((2*Table1[[#This Row],[x]])-Table1[[#This Row],[l]])*(Table1[[#This Row],[Load(p)]]*Table1[[#This Row],[c]]))/Table1[[#This Row],[l]]</f>
        <v>-14200</v>
      </c>
      <c r="H78" s="12">
        <f>(((2*Table1[[#This Row],[x]])-Table1[[#This Row],[l]])*(Table1[[#This Row],[Load(p)]]))/Table1[[#This Row],[l]]</f>
        <v>-200</v>
      </c>
      <c r="I78" s="12">
        <f>Table1[[#This Row],[Load(p)]]*((Table1[[#This Row],[l]]-Table1[[#This Row],[x]])/Table1[[#This Row],[l]])</f>
        <v>600</v>
      </c>
      <c r="J78" s="12">
        <f>Table1[[#This Row],[Load(p)]]*(Table1[[#This Row],[x]]/Table1[[#This Row],[l]])</f>
        <v>400</v>
      </c>
      <c r="K78" s="12">
        <f>Table1[[#This Row],[BM]]/Table1[[#This Row],[Z]]</f>
        <v>-1.8933333333333333E-2</v>
      </c>
      <c r="L78" s="12">
        <f>Table1[[#This Row],[SF]]/Table1[[#This Row],[bd]]</f>
        <v>-1.3333333333333334E-2</v>
      </c>
      <c r="M78" s="12">
        <f t="shared" si="8"/>
        <v>-0.25994271013331038</v>
      </c>
      <c r="N78" s="12">
        <f>(Table1[[#This Row],[Shear Stress]])*SQRT(PI()*Table1[[#This Row],[a]])</f>
        <v>-0.1830582465727538</v>
      </c>
      <c r="O78" s="12">
        <f t="shared" si="9"/>
        <v>0.60939802630947304</v>
      </c>
      <c r="P78" s="12">
        <v>50</v>
      </c>
      <c r="Q78" s="12">
        <v>300</v>
      </c>
      <c r="R78" s="12">
        <f>(Table1[[#This Row],[b]]*(Table1[[#This Row],[d]]^2))/6</f>
        <v>750000</v>
      </c>
      <c r="S78" s="12">
        <f>Table1[[#This Row],[b]]*Table1[[#This Row],[d]]</f>
        <v>15000</v>
      </c>
      <c r="T78" s="12">
        <v>1000</v>
      </c>
    </row>
    <row r="79" spans="1:23" x14ac:dyDescent="0.25">
      <c r="A79" s="12">
        <v>1000</v>
      </c>
      <c r="B79" s="12">
        <v>400</v>
      </c>
      <c r="C79" s="12">
        <v>71.25</v>
      </c>
      <c r="D79" s="12">
        <v>60</v>
      </c>
      <c r="E79" s="12">
        <f>(Table1[[#This Row],[Load(p)]]*Table1[[#This Row],[x]])/Table1[[#This Row],[l]]</f>
        <v>400</v>
      </c>
      <c r="F79" s="12">
        <f>(Table1[[#This Row],[Load(p)]]*(Table1[[#This Row],[l]]-Table1[[#This Row],[x]])/Table1[[#This Row],[l]])</f>
        <v>600</v>
      </c>
      <c r="G79" s="12">
        <f>(((2*Table1[[#This Row],[x]])-Table1[[#This Row],[l]])*(Table1[[#This Row],[Load(p)]]*Table1[[#This Row],[c]]))/Table1[[#This Row],[l]]</f>
        <v>-14250</v>
      </c>
      <c r="H79" s="12">
        <f>(((2*Table1[[#This Row],[x]])-Table1[[#This Row],[l]])*(Table1[[#This Row],[Load(p)]]))/Table1[[#This Row],[l]]</f>
        <v>-200</v>
      </c>
      <c r="I79" s="12">
        <f>Table1[[#This Row],[Load(p)]]*((Table1[[#This Row],[l]]-Table1[[#This Row],[x]])/Table1[[#This Row],[l]])</f>
        <v>600</v>
      </c>
      <c r="J79" s="12">
        <f>Table1[[#This Row],[Load(p)]]*(Table1[[#This Row],[x]]/Table1[[#This Row],[l]])</f>
        <v>400</v>
      </c>
      <c r="K79" s="12">
        <f>Table1[[#This Row],[BM]]/Table1[[#This Row],[Z]]</f>
        <v>-1.9E-2</v>
      </c>
      <c r="L79" s="12">
        <f>Table1[[#This Row],[SF]]/Table1[[#This Row],[bd]]</f>
        <v>-1.3333333333333334E-2</v>
      </c>
      <c r="M79" s="12">
        <f t="shared" si="8"/>
        <v>-0.26085800136617415</v>
      </c>
      <c r="N79" s="12">
        <f>(Table1[[#This Row],[Shear Stress]])*SQRT(PI()*Table1[[#This Row],[a]])</f>
        <v>-0.1830582465727538</v>
      </c>
      <c r="O79" s="12">
        <f t="shared" si="9"/>
        <v>0.61045081147903368</v>
      </c>
      <c r="P79" s="12">
        <v>50</v>
      </c>
      <c r="Q79" s="12">
        <v>300</v>
      </c>
      <c r="R79" s="12">
        <f>(Table1[[#This Row],[b]]*(Table1[[#This Row],[d]]^2))/6</f>
        <v>750000</v>
      </c>
      <c r="S79" s="12">
        <f>Table1[[#This Row],[b]]*Table1[[#This Row],[d]]</f>
        <v>15000</v>
      </c>
      <c r="T79" s="12">
        <v>1000</v>
      </c>
    </row>
    <row r="80" spans="1:23" x14ac:dyDescent="0.25">
      <c r="A80" s="12">
        <v>1000</v>
      </c>
      <c r="B80" s="12">
        <v>400</v>
      </c>
      <c r="C80" s="12">
        <v>71.5</v>
      </c>
      <c r="D80" s="12">
        <v>60</v>
      </c>
      <c r="E80" s="12">
        <f>(Table1[[#This Row],[Load(p)]]*Table1[[#This Row],[x]])/Table1[[#This Row],[l]]</f>
        <v>400</v>
      </c>
      <c r="F80" s="12">
        <f>(Table1[[#This Row],[Load(p)]]*(Table1[[#This Row],[l]]-Table1[[#This Row],[x]])/Table1[[#This Row],[l]])</f>
        <v>600</v>
      </c>
      <c r="G80" s="12">
        <f>(((2*Table1[[#This Row],[x]])-Table1[[#This Row],[l]])*(Table1[[#This Row],[Load(p)]]*Table1[[#This Row],[c]]))/Table1[[#This Row],[l]]</f>
        <v>-14300</v>
      </c>
      <c r="H80" s="12">
        <f>(((2*Table1[[#This Row],[x]])-Table1[[#This Row],[l]])*(Table1[[#This Row],[Load(p)]]))/Table1[[#This Row],[l]]</f>
        <v>-200</v>
      </c>
      <c r="I80" s="12">
        <f>Table1[[#This Row],[Load(p)]]*((Table1[[#This Row],[l]]-Table1[[#This Row],[x]])/Table1[[#This Row],[l]])</f>
        <v>600</v>
      </c>
      <c r="J80" s="12">
        <f>Table1[[#This Row],[Load(p)]]*(Table1[[#This Row],[x]]/Table1[[#This Row],[l]])</f>
        <v>400</v>
      </c>
      <c r="K80" s="12">
        <f>Table1[[#This Row],[BM]]/Table1[[#This Row],[Z]]</f>
        <v>-1.9066666666666666E-2</v>
      </c>
      <c r="L80" s="12">
        <f>Table1[[#This Row],[SF]]/Table1[[#This Row],[bd]]</f>
        <v>-1.3333333333333334E-2</v>
      </c>
      <c r="M80" s="12">
        <f t="shared" si="8"/>
        <v>-0.26177329259903787</v>
      </c>
      <c r="N80" s="12">
        <f>(Table1[[#This Row],[Shear Stress]])*SQRT(PI()*Table1[[#This Row],[a]])</f>
        <v>-0.1830582465727538</v>
      </c>
      <c r="O80" s="12">
        <f t="shared" si="9"/>
        <v>0.61149865807184933</v>
      </c>
      <c r="P80" s="12">
        <v>50</v>
      </c>
      <c r="Q80" s="12">
        <v>300</v>
      </c>
      <c r="R80" s="12">
        <f>(Table1[[#This Row],[b]]*(Table1[[#This Row],[d]]^2))/6</f>
        <v>750000</v>
      </c>
      <c r="S80" s="12">
        <f>Table1[[#This Row],[b]]*Table1[[#This Row],[d]]</f>
        <v>15000</v>
      </c>
      <c r="T80" s="12">
        <v>1000</v>
      </c>
    </row>
    <row r="81" spans="1:20" x14ac:dyDescent="0.25">
      <c r="A81" s="12">
        <v>1000</v>
      </c>
      <c r="B81" s="12">
        <v>400</v>
      </c>
      <c r="C81" s="12">
        <v>71.75</v>
      </c>
      <c r="D81" s="12">
        <v>60</v>
      </c>
      <c r="E81" s="12">
        <f>(Table1[[#This Row],[Load(p)]]*Table1[[#This Row],[x]])/Table1[[#This Row],[l]]</f>
        <v>400</v>
      </c>
      <c r="F81" s="12">
        <f>(Table1[[#This Row],[Load(p)]]*(Table1[[#This Row],[l]]-Table1[[#This Row],[x]])/Table1[[#This Row],[l]])</f>
        <v>600</v>
      </c>
      <c r="G81" s="12">
        <f>(((2*Table1[[#This Row],[x]])-Table1[[#This Row],[l]])*(Table1[[#This Row],[Load(p)]]*Table1[[#This Row],[c]]))/Table1[[#This Row],[l]]</f>
        <v>-14350</v>
      </c>
      <c r="H81" s="12">
        <f>(((2*Table1[[#This Row],[x]])-Table1[[#This Row],[l]])*(Table1[[#This Row],[Load(p)]]))/Table1[[#This Row],[l]]</f>
        <v>-200</v>
      </c>
      <c r="I81" s="12">
        <f>Table1[[#This Row],[Load(p)]]*((Table1[[#This Row],[l]]-Table1[[#This Row],[x]])/Table1[[#This Row],[l]])</f>
        <v>600</v>
      </c>
      <c r="J81" s="12">
        <f>Table1[[#This Row],[Load(p)]]*(Table1[[#This Row],[x]]/Table1[[#This Row],[l]])</f>
        <v>400</v>
      </c>
      <c r="K81" s="12">
        <f>Table1[[#This Row],[BM]]/Table1[[#This Row],[Z]]</f>
        <v>-1.9133333333333332E-2</v>
      </c>
      <c r="L81" s="12">
        <f>Table1[[#This Row],[SF]]/Table1[[#This Row],[bd]]</f>
        <v>-1.3333333333333334E-2</v>
      </c>
      <c r="M81" s="12">
        <f t="shared" si="8"/>
        <v>-0.26268858383190163</v>
      </c>
      <c r="N81" s="12">
        <f>(Table1[[#This Row],[Shear Stress]])*SQRT(PI()*Table1[[#This Row],[a]])</f>
        <v>-0.1830582465727538</v>
      </c>
      <c r="O81" s="12">
        <f t="shared" si="9"/>
        <v>0.61254159511881745</v>
      </c>
      <c r="P81" s="12">
        <v>50</v>
      </c>
      <c r="Q81" s="12">
        <v>300</v>
      </c>
      <c r="R81" s="12">
        <f>(Table1[[#This Row],[b]]*(Table1[[#This Row],[d]]^2))/6</f>
        <v>750000</v>
      </c>
      <c r="S81" s="12">
        <f>Table1[[#This Row],[b]]*Table1[[#This Row],[d]]</f>
        <v>15000</v>
      </c>
      <c r="T81" s="12">
        <v>1000</v>
      </c>
    </row>
    <row r="82" spans="1:20" x14ac:dyDescent="0.25">
      <c r="A82" s="12">
        <v>1000</v>
      </c>
      <c r="B82" s="12">
        <v>400</v>
      </c>
      <c r="C82" s="12">
        <v>72</v>
      </c>
      <c r="D82" s="12">
        <v>60</v>
      </c>
      <c r="E82" s="12">
        <f>(Table1[[#This Row],[Load(p)]]*Table1[[#This Row],[x]])/Table1[[#This Row],[l]]</f>
        <v>400</v>
      </c>
      <c r="F82" s="12">
        <f>(Table1[[#This Row],[Load(p)]]*(Table1[[#This Row],[l]]-Table1[[#This Row],[x]])/Table1[[#This Row],[l]])</f>
        <v>600</v>
      </c>
      <c r="G82" s="12">
        <f>(((2*Table1[[#This Row],[x]])-Table1[[#This Row],[l]])*(Table1[[#This Row],[Load(p)]]*Table1[[#This Row],[c]]))/Table1[[#This Row],[l]]</f>
        <v>-14400</v>
      </c>
      <c r="H82" s="12">
        <f>(((2*Table1[[#This Row],[x]])-Table1[[#This Row],[l]])*(Table1[[#This Row],[Load(p)]]))/Table1[[#This Row],[l]]</f>
        <v>-200</v>
      </c>
      <c r="I82" s="12">
        <f>Table1[[#This Row],[Load(p)]]*((Table1[[#This Row],[l]]-Table1[[#This Row],[x]])/Table1[[#This Row],[l]])</f>
        <v>600</v>
      </c>
      <c r="J82" s="12">
        <f>Table1[[#This Row],[Load(p)]]*(Table1[[#This Row],[x]]/Table1[[#This Row],[l]])</f>
        <v>400</v>
      </c>
      <c r="K82" s="12">
        <f>Table1[[#This Row],[BM]]/Table1[[#This Row],[Z]]</f>
        <v>-1.9199999999999998E-2</v>
      </c>
      <c r="L82" s="12">
        <f>Table1[[#This Row],[SF]]/Table1[[#This Row],[bd]]</f>
        <v>-1.3333333333333334E-2</v>
      </c>
      <c r="M82" s="12">
        <f t="shared" si="8"/>
        <v>-0.2636038750647654</v>
      </c>
      <c r="N82" s="12">
        <f>(Table1[[#This Row],[Shear Stress]])*SQRT(PI()*Table1[[#This Row],[a]])</f>
        <v>-0.1830582465727538</v>
      </c>
      <c r="O82" s="12">
        <f t="shared" si="9"/>
        <v>0.61357965148484583</v>
      </c>
      <c r="P82" s="12">
        <v>50</v>
      </c>
      <c r="Q82" s="12">
        <v>300</v>
      </c>
      <c r="R82" s="12">
        <f>(Table1[[#This Row],[b]]*(Table1[[#This Row],[d]]^2))/6</f>
        <v>750000</v>
      </c>
      <c r="S82" s="12">
        <f>Table1[[#This Row],[b]]*Table1[[#This Row],[d]]</f>
        <v>15000</v>
      </c>
      <c r="T82" s="12">
        <v>1000</v>
      </c>
    </row>
    <row r="83" spans="1:20" x14ac:dyDescent="0.25">
      <c r="A83" s="12">
        <v>1000</v>
      </c>
      <c r="B83" s="12">
        <v>400</v>
      </c>
      <c r="C83" s="12">
        <v>15</v>
      </c>
      <c r="D83" s="12">
        <v>60</v>
      </c>
      <c r="E83" s="12">
        <f>(Table1[[#This Row],[Load(p)]]*Table1[[#This Row],[x]])/Table1[[#This Row],[l]]</f>
        <v>400</v>
      </c>
      <c r="F83" s="12">
        <f>(Table1[[#This Row],[Load(p)]]*(Table1[[#This Row],[l]]-Table1[[#This Row],[x]])/Table1[[#This Row],[l]])</f>
        <v>600</v>
      </c>
      <c r="G83" s="12">
        <f>(((2*Table1[[#This Row],[x]])-Table1[[#This Row],[l]])*(Table1[[#This Row],[Load(p)]]*Table1[[#This Row],[c]]))/Table1[[#This Row],[l]]</f>
        <v>-3000</v>
      </c>
      <c r="H83" s="12">
        <f>(((2*Table1[[#This Row],[x]])-Table1[[#This Row],[l]])*(Table1[[#This Row],[Load(p)]]))/Table1[[#This Row],[l]]</f>
        <v>-200</v>
      </c>
      <c r="I83" s="12">
        <f>Table1[[#This Row],[Load(p)]]*((Table1[[#This Row],[l]]-Table1[[#This Row],[x]])/Table1[[#This Row],[l]])</f>
        <v>600</v>
      </c>
      <c r="J83" s="12">
        <f>Table1[[#This Row],[Load(p)]]*(Table1[[#This Row],[x]]/Table1[[#This Row],[l]])</f>
        <v>400</v>
      </c>
      <c r="K83" s="12">
        <f>Table1[[#This Row],[BM]]/Table1[[#This Row],[Z]]</f>
        <v>-4.0000000000000001E-3</v>
      </c>
      <c r="L83" s="12">
        <f>Table1[[#This Row],[SF]]/Table1[[#This Row],[bd]]</f>
        <v>-1.3333333333333334E-2</v>
      </c>
      <c r="M83" s="12">
        <f t="shared" ref="M83" si="10">(K83)*SQRT(PI()*D83)</f>
        <v>-5.4917473971826135E-2</v>
      </c>
      <c r="N83" s="12">
        <f>(Table1[[#This Row],[Shear Stress]])*SQRT(PI()*Table1[[#This Row],[a]])</f>
        <v>-0.1830582465727538</v>
      </c>
      <c r="O83" s="12">
        <f t="shared" ref="O83" si="11">(2/PI())*(ATAN((M83/N83)))</f>
        <v>0.1855471581554847</v>
      </c>
      <c r="P83" s="12">
        <v>50</v>
      </c>
      <c r="Q83" s="12">
        <v>300</v>
      </c>
      <c r="R83" s="12">
        <f>(Table1[[#This Row],[b]]*(Table1[[#This Row],[d]]^2))/6</f>
        <v>750000</v>
      </c>
      <c r="S83" s="12">
        <f>Table1[[#This Row],[b]]*Table1[[#This Row],[d]]</f>
        <v>15000</v>
      </c>
      <c r="T83" s="12">
        <v>1000</v>
      </c>
    </row>
  </sheetData>
  <mergeCells count="3">
    <mergeCell ref="E2:N2"/>
    <mergeCell ref="U52:W55"/>
    <mergeCell ref="U68:W74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3DB0-5E72-453D-A032-148F4F0985EC}">
  <dimension ref="A2:U10"/>
  <sheetViews>
    <sheetView tabSelected="1" zoomScale="115" zoomScaleNormal="115" workbookViewId="0">
      <selection activeCell="U9" sqref="U9"/>
    </sheetView>
  </sheetViews>
  <sheetFormatPr defaultRowHeight="15" x14ac:dyDescent="0.25"/>
  <cols>
    <col min="7" max="8" width="0" hidden="1" customWidth="1"/>
    <col min="11" max="12" width="0" hidden="1" customWidth="1"/>
  </cols>
  <sheetData>
    <row r="2" spans="1:21" x14ac:dyDescent="0.25">
      <c r="G2" s="26" t="s">
        <v>23</v>
      </c>
      <c r="H2" s="26"/>
      <c r="I2" s="26"/>
      <c r="J2" s="26"/>
      <c r="K2" s="26"/>
      <c r="L2" s="26"/>
      <c r="M2" s="26"/>
      <c r="N2" s="26"/>
      <c r="O2" s="26"/>
    </row>
    <row r="5" spans="1:21" x14ac:dyDescent="0.25">
      <c r="A5" s="21" t="s">
        <v>1</v>
      </c>
      <c r="B5" s="21" t="s">
        <v>0</v>
      </c>
      <c r="C5" s="21" t="s">
        <v>7</v>
      </c>
      <c r="D5" s="21" t="s">
        <v>8</v>
      </c>
      <c r="E5" s="21" t="s">
        <v>14</v>
      </c>
      <c r="F5" s="21" t="s">
        <v>15</v>
      </c>
      <c r="G5" s="21" t="s">
        <v>2</v>
      </c>
      <c r="H5" s="21" t="s">
        <v>3</v>
      </c>
      <c r="I5" s="21" t="s">
        <v>21</v>
      </c>
      <c r="J5" s="21" t="s">
        <v>22</v>
      </c>
      <c r="K5" s="21" t="s">
        <v>17</v>
      </c>
      <c r="L5" s="21" t="s">
        <v>18</v>
      </c>
      <c r="M5" s="21" t="s">
        <v>4</v>
      </c>
      <c r="N5" s="21" t="s">
        <v>5</v>
      </c>
      <c r="O5" s="21" t="s">
        <v>6</v>
      </c>
      <c r="P5" s="21" t="s">
        <v>9</v>
      </c>
      <c r="Q5" s="21" t="s">
        <v>10</v>
      </c>
      <c r="R5" s="21" t="s">
        <v>11</v>
      </c>
      <c r="S5" s="21" t="s">
        <v>12</v>
      </c>
      <c r="T5" s="21" t="s">
        <v>13</v>
      </c>
    </row>
    <row r="6" spans="1:21" x14ac:dyDescent="0.25">
      <c r="A6" s="22">
        <v>1000</v>
      </c>
      <c r="B6" s="22">
        <v>400</v>
      </c>
      <c r="C6" s="22">
        <v>15.75</v>
      </c>
      <c r="D6" s="22">
        <v>60</v>
      </c>
      <c r="E6" s="22">
        <f>(Table1[[#This Row],[Load(p)]]*Table1[[#This Row],[x]])/Table1[[#This Row],[l]]</f>
        <v>400</v>
      </c>
      <c r="F6" s="22">
        <f>(Table1[[#This Row],[Load(p)]]*(Table1[[#This Row],[l]]-Table1[[#This Row],[x]])/Table1[[#This Row],[l]])</f>
        <v>600</v>
      </c>
      <c r="G6" s="22">
        <f>(((2*Table1[[#This Row],[x]])-Table1[[#This Row],[l]])*(Table1[[#This Row],[Load(p)]]*Table1[[#This Row],[c]]))/Table1[[#This Row],[l]]</f>
        <v>0</v>
      </c>
      <c r="H6" s="22">
        <f>(((2*Table1[[#This Row],[x]])-Table1[[#This Row],[l]])*(Table1[[#This Row],[Load(p)]]))/Table1[[#This Row],[l]]</f>
        <v>-200</v>
      </c>
      <c r="I6" s="22">
        <f>Table1[[#This Row],[Load(p)]]*((Table1[[#This Row],[l]]-Table1[[#This Row],[x]])/Table1[[#This Row],[l]])</f>
        <v>600</v>
      </c>
      <c r="J6" s="22">
        <f>Table1[[#This Row],[Load(p)]]*(Table1[[#This Row],[x]]/Table1[[#This Row],[l]])</f>
        <v>400</v>
      </c>
      <c r="K6" s="22">
        <f>Table1[[#This Row],[BM]]/Table1[[#This Row],[Z]]</f>
        <v>0</v>
      </c>
      <c r="L6" s="22">
        <f>Table1[[#This Row],[SF]]/Table1[[#This Row],[bd]]</f>
        <v>-1.3333333333333334E-2</v>
      </c>
      <c r="M6" s="23">
        <v>6.4810999999999994E-2</v>
      </c>
      <c r="N6" s="23">
        <v>0.12839999999999999</v>
      </c>
      <c r="O6" s="23">
        <f t="shared" ref="O6:O9" si="0">(2/PI())*(ATAN((M6/N6)))</f>
        <v>0.29758613769563025</v>
      </c>
      <c r="P6" s="22">
        <v>50</v>
      </c>
      <c r="Q6" s="22">
        <v>300</v>
      </c>
      <c r="R6" s="22">
        <f>(Table1[[#This Row],[b]]*(Table1[[#This Row],[d]]^2))/6</f>
        <v>750000</v>
      </c>
      <c r="S6" s="22">
        <f>Table1[[#This Row],[b]]*Table1[[#This Row],[d]]</f>
        <v>15000</v>
      </c>
      <c r="T6" s="22">
        <v>1000</v>
      </c>
    </row>
    <row r="7" spans="1:21" x14ac:dyDescent="0.25">
      <c r="A7" s="22">
        <v>1000</v>
      </c>
      <c r="B7" s="22">
        <v>400</v>
      </c>
      <c r="C7" s="22">
        <v>15.8</v>
      </c>
      <c r="D7" s="22">
        <v>60</v>
      </c>
      <c r="E7" s="22">
        <f>(Table1[[#This Row],[Load(p)]]*Table1[[#This Row],[x]])/Table1[[#This Row],[l]]</f>
        <v>400</v>
      </c>
      <c r="F7" s="22">
        <f>(Table1[[#This Row],[Load(p)]]*(Table1[[#This Row],[l]]-Table1[[#This Row],[x]])/Table1[[#This Row],[l]])</f>
        <v>600</v>
      </c>
      <c r="G7" s="22">
        <f>(((2*Table1[[#This Row],[x]])-Table1[[#This Row],[l]])*(Table1[[#This Row],[Load(p)]]*Table1[[#This Row],[c]]))/Table1[[#This Row],[l]]</f>
        <v>-10000</v>
      </c>
      <c r="H7" s="22">
        <f>(((2*Table1[[#This Row],[x]])-Table1[[#This Row],[l]])*(Table1[[#This Row],[Load(p)]]))/Table1[[#This Row],[l]]</f>
        <v>-200</v>
      </c>
      <c r="I7" s="22">
        <f>Table1[[#This Row],[Load(p)]]*((Table1[[#This Row],[l]]-Table1[[#This Row],[x]])/Table1[[#This Row],[l]])</f>
        <v>600</v>
      </c>
      <c r="J7" s="22">
        <f>Table1[[#This Row],[Load(p)]]*(Table1[[#This Row],[x]]/Table1[[#This Row],[l]])</f>
        <v>400</v>
      </c>
      <c r="K7" s="22">
        <f>Table1[[#This Row],[BM]]/Table1[[#This Row],[Z]]</f>
        <v>-1.3333333333333334E-2</v>
      </c>
      <c r="L7" s="22">
        <f>Table1[[#This Row],[SF]]/Table1[[#This Row],[bd]]</f>
        <v>-1.3333333333333334E-2</v>
      </c>
      <c r="M7" s="23">
        <v>6.1899999999999997E-2</v>
      </c>
      <c r="N7" s="23">
        <v>0.12839999999999999</v>
      </c>
      <c r="O7" s="23">
        <f t="shared" si="0"/>
        <v>0.28597913483948889</v>
      </c>
      <c r="P7" s="22">
        <v>50</v>
      </c>
      <c r="Q7" s="22">
        <v>300</v>
      </c>
      <c r="R7" s="22">
        <f>(Table1[[#This Row],[b]]*(Table1[[#This Row],[d]]^2))/6</f>
        <v>750000</v>
      </c>
      <c r="S7" s="22">
        <f>Table1[[#This Row],[b]]*Table1[[#This Row],[d]]</f>
        <v>15000</v>
      </c>
      <c r="T7" s="22">
        <v>1000</v>
      </c>
    </row>
    <row r="8" spans="1:21" x14ac:dyDescent="0.25">
      <c r="A8" s="22">
        <v>1000</v>
      </c>
      <c r="B8" s="22">
        <v>400</v>
      </c>
      <c r="C8" s="22">
        <v>15.9</v>
      </c>
      <c r="D8" s="22">
        <v>60</v>
      </c>
      <c r="E8" s="22">
        <f>(Table1[[#This Row],[Load(p)]]*Table1[[#This Row],[x]])/Table1[[#This Row],[l]]</f>
        <v>400</v>
      </c>
      <c r="F8" s="22">
        <f>(Table1[[#This Row],[Load(p)]]*(Table1[[#This Row],[l]]-Table1[[#This Row],[x]])/Table1[[#This Row],[l]])</f>
        <v>600</v>
      </c>
      <c r="G8" s="22">
        <f>(((2*Table1[[#This Row],[x]])-Table1[[#This Row],[l]])*(Table1[[#This Row],[Load(p)]]*Table1[[#This Row],[c]]))/Table1[[#This Row],[l]]</f>
        <v>-20000</v>
      </c>
      <c r="H8" s="22">
        <f>(((2*Table1[[#This Row],[x]])-Table1[[#This Row],[l]])*(Table1[[#This Row],[Load(p)]]))/Table1[[#This Row],[l]]</f>
        <v>-200</v>
      </c>
      <c r="I8" s="22">
        <f>Table1[[#This Row],[Load(p)]]*((Table1[[#This Row],[l]]-Table1[[#This Row],[x]])/Table1[[#This Row],[l]])</f>
        <v>600</v>
      </c>
      <c r="J8" s="22">
        <f>Table1[[#This Row],[Load(p)]]*(Table1[[#This Row],[x]]/Table1[[#This Row],[l]])</f>
        <v>400</v>
      </c>
      <c r="K8" s="22">
        <f>Table1[[#This Row],[BM]]/Table1[[#This Row],[Z]]</f>
        <v>-2.6666666666666668E-2</v>
      </c>
      <c r="L8" s="22">
        <f>Table1[[#This Row],[SF]]/Table1[[#This Row],[bd]]</f>
        <v>-1.3333333333333334E-2</v>
      </c>
      <c r="M8" s="23">
        <v>6.5393000000000007E-2</v>
      </c>
      <c r="N8" s="23">
        <v>0.12839999999999999</v>
      </c>
      <c r="O8" s="23">
        <f t="shared" si="0"/>
        <v>0.29988163632821879</v>
      </c>
      <c r="P8" s="22">
        <v>50</v>
      </c>
      <c r="Q8" s="22">
        <v>300</v>
      </c>
      <c r="R8" s="22">
        <f>(Table1[[#This Row],[b]]*(Table1[[#This Row],[d]]^2))/6</f>
        <v>750000</v>
      </c>
      <c r="S8" s="22">
        <f>Table1[[#This Row],[b]]*Table1[[#This Row],[d]]</f>
        <v>15000</v>
      </c>
      <c r="T8" s="22">
        <v>1000</v>
      </c>
    </row>
    <row r="9" spans="1:21" x14ac:dyDescent="0.25">
      <c r="A9" s="24">
        <v>1000</v>
      </c>
      <c r="B9" s="24">
        <v>400</v>
      </c>
      <c r="C9" s="24">
        <v>15.95</v>
      </c>
      <c r="D9" s="24">
        <v>60</v>
      </c>
      <c r="E9" s="24">
        <f>(Table1[[#This Row],[Load(p)]]*Table1[[#This Row],[x]])/Table1[[#This Row],[l]]</f>
        <v>400</v>
      </c>
      <c r="F9" s="24">
        <f>(Table1[[#This Row],[Load(p)]]*(Table1[[#This Row],[l]]-Table1[[#This Row],[x]])/Table1[[#This Row],[l]])</f>
        <v>600</v>
      </c>
      <c r="G9" s="24">
        <f>(((2*Table1[[#This Row],[x]])-Table1[[#This Row],[l]])*(Table1[[#This Row],[Load(p)]]*Table1[[#This Row],[c]]))/Table1[[#This Row],[l]]</f>
        <v>-30000</v>
      </c>
      <c r="H9" s="24">
        <f>(((2*Table1[[#This Row],[x]])-Table1[[#This Row],[l]])*(Table1[[#This Row],[Load(p)]]))/Table1[[#This Row],[l]]</f>
        <v>-200</v>
      </c>
      <c r="I9" s="24">
        <f>Table1[[#This Row],[Load(p)]]*((Table1[[#This Row],[l]]-Table1[[#This Row],[x]])/Table1[[#This Row],[l]])</f>
        <v>600</v>
      </c>
      <c r="J9" s="24">
        <f>Table1[[#This Row],[Load(p)]]*(Table1[[#This Row],[x]]/Table1[[#This Row],[l]])</f>
        <v>400</v>
      </c>
      <c r="K9" s="24">
        <f>Table1[[#This Row],[BM]]/Table1[[#This Row],[Z]]</f>
        <v>-0.04</v>
      </c>
      <c r="L9" s="24">
        <f>Table1[[#This Row],[SF]]/Table1[[#This Row],[bd]]</f>
        <v>-1.3333333333333334E-2</v>
      </c>
      <c r="M9" s="24">
        <v>6.5567E-2</v>
      </c>
      <c r="N9" s="24">
        <v>0.12839999999999999</v>
      </c>
      <c r="O9" s="24">
        <f t="shared" si="0"/>
        <v>0.30056628895396054</v>
      </c>
      <c r="P9" s="24">
        <v>50</v>
      </c>
      <c r="Q9" s="24">
        <v>300</v>
      </c>
      <c r="R9" s="24">
        <f>(Table1[[#This Row],[b]]*(Table1[[#This Row],[d]]^2))/6</f>
        <v>750000</v>
      </c>
      <c r="S9" s="24">
        <f>Table1[[#This Row],[b]]*Table1[[#This Row],[d]]</f>
        <v>15000</v>
      </c>
      <c r="T9" s="24">
        <v>1000</v>
      </c>
      <c r="U9" t="s">
        <v>25</v>
      </c>
    </row>
    <row r="10" spans="1:21" x14ac:dyDescent="0.25">
      <c r="A10" s="22">
        <v>1000</v>
      </c>
      <c r="B10" s="22">
        <v>400</v>
      </c>
      <c r="C10" s="22">
        <v>16</v>
      </c>
      <c r="D10" s="22">
        <v>60</v>
      </c>
      <c r="E10" s="22">
        <f>(Table1[[#This Row],[Load(p)]]*Table1[[#This Row],[x]])/Table1[[#This Row],[l]]</f>
        <v>400</v>
      </c>
      <c r="F10" s="22">
        <f>(Table1[[#This Row],[Load(p)]]*(Table1[[#This Row],[l]]-Table1[[#This Row],[x]])/Table1[[#This Row],[l]])</f>
        <v>600</v>
      </c>
      <c r="G10" s="22">
        <f>(((2*Table1[[#This Row],[x]])-Table1[[#This Row],[l]])*(Table1[[#This Row],[Load(p)]]*Table1[[#This Row],[c]]))/Table1[[#This Row],[l]]</f>
        <v>-40000</v>
      </c>
      <c r="H10" s="22">
        <f>(((2*Table1[[#This Row],[x]])-Table1[[#This Row],[l]])*(Table1[[#This Row],[Load(p)]]))/Table1[[#This Row],[l]]</f>
        <v>-200</v>
      </c>
      <c r="I10" s="22">
        <f>Table1[[#This Row],[Load(p)]]*((Table1[[#This Row],[l]]-Table1[[#This Row],[x]])/Table1[[#This Row],[l]])</f>
        <v>600</v>
      </c>
      <c r="J10" s="22">
        <f>Table1[[#This Row],[Load(p)]]*(Table1[[#This Row],[x]]/Table1[[#This Row],[l]])</f>
        <v>400</v>
      </c>
      <c r="K10" s="22">
        <f>Table1[[#This Row],[BM]]/Table1[[#This Row],[Z]]</f>
        <v>-5.3333333333333337E-2</v>
      </c>
      <c r="L10" s="22">
        <f>Table1[[#This Row],[SF]]/Table1[[#This Row],[bd]]</f>
        <v>-1.3333333333333334E-2</v>
      </c>
      <c r="M10" s="23">
        <v>6.5743999999999997E-2</v>
      </c>
      <c r="N10" s="23">
        <v>0.12839999999999999</v>
      </c>
      <c r="O10" s="23">
        <f>(2/PI())*(ATAN((M10/N10)))</f>
        <v>0.30126197523270115</v>
      </c>
      <c r="P10" s="22">
        <v>50</v>
      </c>
      <c r="Q10" s="22">
        <v>300</v>
      </c>
      <c r="R10" s="22">
        <f>(Table1[[#This Row],[b]]*(Table1[[#This Row],[d]]^2))/6</f>
        <v>750000</v>
      </c>
      <c r="S10" s="22">
        <f>Table1[[#This Row],[b]]*Table1[[#This Row],[d]]</f>
        <v>15000</v>
      </c>
      <c r="T10" s="22">
        <v>1000</v>
      </c>
    </row>
  </sheetData>
  <mergeCells count="1">
    <mergeCell ref="G2:O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E946-B404-4A9B-B34F-72F8AA237AC9}">
  <dimension ref="A2:U10"/>
  <sheetViews>
    <sheetView zoomScale="115" zoomScaleNormal="115" workbookViewId="0">
      <selection activeCell="P17" sqref="P17"/>
    </sheetView>
  </sheetViews>
  <sheetFormatPr defaultRowHeight="15" x14ac:dyDescent="0.25"/>
  <cols>
    <col min="7" max="8" width="0" hidden="1" customWidth="1"/>
    <col min="11" max="12" width="0" hidden="1" customWidth="1"/>
  </cols>
  <sheetData>
    <row r="2" spans="1:21" x14ac:dyDescent="0.25">
      <c r="F2" s="26" t="s">
        <v>24</v>
      </c>
      <c r="G2" s="26"/>
      <c r="H2" s="26"/>
      <c r="I2" s="26"/>
      <c r="J2" s="26"/>
      <c r="K2" s="26"/>
      <c r="L2" s="26"/>
      <c r="M2" s="26"/>
    </row>
    <row r="4" spans="1:21" x14ac:dyDescent="0.25">
      <c r="A4" s="21" t="s">
        <v>1</v>
      </c>
      <c r="B4" s="21" t="s">
        <v>0</v>
      </c>
      <c r="C4" s="21" t="s">
        <v>7</v>
      </c>
      <c r="D4" s="21" t="s">
        <v>8</v>
      </c>
      <c r="E4" s="21" t="s">
        <v>14</v>
      </c>
      <c r="F4" s="21" t="s">
        <v>15</v>
      </c>
      <c r="G4" s="21" t="s">
        <v>2</v>
      </c>
      <c r="H4" s="21" t="s">
        <v>3</v>
      </c>
      <c r="I4" s="21" t="s">
        <v>21</v>
      </c>
      <c r="J4" s="21" t="s">
        <v>22</v>
      </c>
      <c r="K4" s="21" t="s">
        <v>17</v>
      </c>
      <c r="L4" s="21" t="s">
        <v>18</v>
      </c>
      <c r="M4" s="21" t="s">
        <v>4</v>
      </c>
      <c r="N4" s="21" t="s">
        <v>5</v>
      </c>
      <c r="O4" s="21" t="s">
        <v>6</v>
      </c>
      <c r="P4" s="21" t="s">
        <v>9</v>
      </c>
      <c r="Q4" s="21" t="s">
        <v>10</v>
      </c>
      <c r="R4" s="21" t="s">
        <v>11</v>
      </c>
      <c r="S4" s="21" t="s">
        <v>12</v>
      </c>
      <c r="T4" s="21" t="s">
        <v>13</v>
      </c>
    </row>
    <row r="5" spans="1:21" x14ac:dyDescent="0.25">
      <c r="A5" s="22">
        <v>1000</v>
      </c>
      <c r="B5" s="22">
        <v>400</v>
      </c>
      <c r="C5" s="22">
        <v>60</v>
      </c>
      <c r="D5" s="22">
        <v>60</v>
      </c>
      <c r="E5" s="22">
        <f>(T5*B5)/A5</f>
        <v>400</v>
      </c>
      <c r="F5" s="22">
        <f>(T5*(A5-B5)/A5)</f>
        <v>600</v>
      </c>
      <c r="G5" s="22">
        <f>(((2*B5)-A5)*(T5*C5))/A5</f>
        <v>-12000</v>
      </c>
      <c r="H5" s="22">
        <f>(((2*B5)-A5)*(T5))/A5</f>
        <v>-200</v>
      </c>
      <c r="I5" s="22">
        <f>T5*((A5-B5)/A5)</f>
        <v>600</v>
      </c>
      <c r="J5" s="22">
        <f>T5*(B5/A5)</f>
        <v>400</v>
      </c>
      <c r="K5" s="22">
        <f>G5/R5</f>
        <v>-1.6E-2</v>
      </c>
      <c r="L5" s="22">
        <f>H5/S5</f>
        <v>-1.3333333333333334E-2</v>
      </c>
      <c r="M5" s="23">
        <v>0.23860000000000001</v>
      </c>
      <c r="N5" s="23">
        <v>0.13150000000000001</v>
      </c>
      <c r="O5" s="23">
        <f t="shared" ref="O5:O8" si="0">(2/PI())*(ATAN((M5/N5)))</f>
        <v>0.6793272439364999</v>
      </c>
      <c r="P5" s="22">
        <v>50</v>
      </c>
      <c r="Q5" s="22">
        <v>300</v>
      </c>
      <c r="R5" s="22">
        <f>(P5*(Q5^2))/6</f>
        <v>750000</v>
      </c>
      <c r="S5" s="22">
        <f>P5*Q5</f>
        <v>15000</v>
      </c>
      <c r="T5" s="22">
        <v>1000</v>
      </c>
    </row>
    <row r="6" spans="1:21" x14ac:dyDescent="0.25">
      <c r="A6" s="22">
        <v>1000</v>
      </c>
      <c r="B6" s="22">
        <v>400</v>
      </c>
      <c r="C6" s="22">
        <v>58</v>
      </c>
      <c r="D6" s="22">
        <v>60</v>
      </c>
      <c r="E6" s="22">
        <f t="shared" ref="E6:E9" si="1">(T6*B6)/A6</f>
        <v>400</v>
      </c>
      <c r="F6" s="22">
        <f t="shared" ref="F6:F9" si="2">(T6*(A6-B6)/A6)</f>
        <v>600</v>
      </c>
      <c r="G6" s="22">
        <f t="shared" ref="G6:G9" si="3">(((2*B6)-A6)*(T6*C6))/A6</f>
        <v>-11600</v>
      </c>
      <c r="H6" s="22">
        <f t="shared" ref="H6:H9" si="4">(((2*B6)-A6)*(T6))/A6</f>
        <v>-200</v>
      </c>
      <c r="I6" s="22">
        <f t="shared" ref="I6:I9" si="5">T6*((A6-B6)/A6)</f>
        <v>600</v>
      </c>
      <c r="J6" s="22">
        <f t="shared" ref="J6:J9" si="6">T6*(B6/A6)</f>
        <v>400</v>
      </c>
      <c r="K6" s="22">
        <f t="shared" ref="K6:K9" si="7">G6/R6</f>
        <v>-1.5466666666666667E-2</v>
      </c>
      <c r="L6" s="22">
        <f t="shared" ref="L6:L9" si="8">H6/S6</f>
        <v>-1.3333333333333334E-2</v>
      </c>
      <c r="M6" s="23">
        <v>0.22950000000000001</v>
      </c>
      <c r="N6" s="23">
        <v>0.12989999999999999</v>
      </c>
      <c r="O6" s="23">
        <f t="shared" si="0"/>
        <v>0.67210635213218284</v>
      </c>
      <c r="P6" s="22">
        <v>50</v>
      </c>
      <c r="Q6" s="22">
        <v>300</v>
      </c>
      <c r="R6" s="22">
        <f t="shared" ref="R6:R9" si="9">(P6*(Q6^2))/6</f>
        <v>750000</v>
      </c>
      <c r="S6" s="22">
        <f t="shared" ref="S6:S9" si="10">P6*Q6</f>
        <v>15000</v>
      </c>
      <c r="T6" s="22">
        <v>1000</v>
      </c>
    </row>
    <row r="7" spans="1:21" x14ac:dyDescent="0.25">
      <c r="A7" s="22">
        <v>1000</v>
      </c>
      <c r="B7" s="22">
        <v>400</v>
      </c>
      <c r="C7" s="22">
        <v>50</v>
      </c>
      <c r="D7" s="22">
        <v>60</v>
      </c>
      <c r="E7" s="22">
        <f t="shared" si="1"/>
        <v>400</v>
      </c>
      <c r="F7" s="22">
        <f t="shared" si="2"/>
        <v>600</v>
      </c>
      <c r="G7" s="22">
        <f t="shared" si="3"/>
        <v>-10000</v>
      </c>
      <c r="H7" s="22">
        <f t="shared" si="4"/>
        <v>-200</v>
      </c>
      <c r="I7" s="22">
        <f t="shared" si="5"/>
        <v>600</v>
      </c>
      <c r="J7" s="22">
        <f t="shared" si="6"/>
        <v>400</v>
      </c>
      <c r="K7" s="22">
        <f t="shared" si="7"/>
        <v>-1.3333333333333334E-2</v>
      </c>
      <c r="L7" s="22">
        <f t="shared" si="8"/>
        <v>-1.3333333333333334E-2</v>
      </c>
      <c r="M7" s="23">
        <v>0.19900000000000001</v>
      </c>
      <c r="N7" s="23">
        <v>0.13070000000000001</v>
      </c>
      <c r="O7" s="23">
        <f t="shared" si="0"/>
        <v>0.63004149595776571</v>
      </c>
      <c r="P7" s="22">
        <v>50</v>
      </c>
      <c r="Q7" s="22">
        <v>300</v>
      </c>
      <c r="R7" s="22">
        <f t="shared" si="9"/>
        <v>750000</v>
      </c>
      <c r="S7" s="22">
        <f t="shared" si="10"/>
        <v>15000</v>
      </c>
      <c r="T7" s="22">
        <v>1000</v>
      </c>
    </row>
    <row r="8" spans="1:21" x14ac:dyDescent="0.25">
      <c r="A8" s="22">
        <v>1000</v>
      </c>
      <c r="B8" s="22">
        <v>400</v>
      </c>
      <c r="C8" s="22">
        <v>44</v>
      </c>
      <c r="D8" s="22">
        <v>60</v>
      </c>
      <c r="E8" s="22">
        <f t="shared" si="1"/>
        <v>400</v>
      </c>
      <c r="F8" s="22">
        <f t="shared" si="2"/>
        <v>600</v>
      </c>
      <c r="G8" s="22">
        <f t="shared" si="3"/>
        <v>-8800</v>
      </c>
      <c r="H8" s="22">
        <f t="shared" si="4"/>
        <v>-200</v>
      </c>
      <c r="I8" s="22">
        <f t="shared" si="5"/>
        <v>600</v>
      </c>
      <c r="J8" s="22">
        <f t="shared" si="6"/>
        <v>400</v>
      </c>
      <c r="K8" s="22">
        <f t="shared" si="7"/>
        <v>-1.1733333333333333E-2</v>
      </c>
      <c r="L8" s="22">
        <f t="shared" si="8"/>
        <v>-1.3333333333333334E-2</v>
      </c>
      <c r="M8" s="23">
        <v>0.17530000000000001</v>
      </c>
      <c r="N8" s="23">
        <v>0.1305</v>
      </c>
      <c r="O8" s="23">
        <f t="shared" si="0"/>
        <v>0.59260664646852146</v>
      </c>
      <c r="P8" s="22">
        <v>50</v>
      </c>
      <c r="Q8" s="22">
        <v>300</v>
      </c>
      <c r="R8" s="22">
        <f t="shared" si="9"/>
        <v>750000</v>
      </c>
      <c r="S8" s="22">
        <f t="shared" si="10"/>
        <v>15000</v>
      </c>
      <c r="T8" s="22">
        <v>1000</v>
      </c>
    </row>
    <row r="9" spans="1:21" x14ac:dyDescent="0.25">
      <c r="A9" s="22">
        <v>1000</v>
      </c>
      <c r="B9" s="22">
        <v>400</v>
      </c>
      <c r="C9" s="22">
        <v>45</v>
      </c>
      <c r="D9" s="22">
        <v>60</v>
      </c>
      <c r="E9" s="22">
        <f t="shared" si="1"/>
        <v>400</v>
      </c>
      <c r="F9" s="22">
        <f t="shared" si="2"/>
        <v>600</v>
      </c>
      <c r="G9" s="22">
        <f t="shared" si="3"/>
        <v>-9000</v>
      </c>
      <c r="H9" s="22">
        <f t="shared" si="4"/>
        <v>-200</v>
      </c>
      <c r="I9" s="22">
        <f t="shared" si="5"/>
        <v>600</v>
      </c>
      <c r="J9" s="22">
        <f t="shared" si="6"/>
        <v>400</v>
      </c>
      <c r="K9" s="22">
        <f t="shared" si="7"/>
        <v>-1.2E-2</v>
      </c>
      <c r="L9" s="22">
        <f t="shared" si="8"/>
        <v>-1.3333333333333334E-2</v>
      </c>
      <c r="M9" s="23">
        <v>0.17929999999999999</v>
      </c>
      <c r="N9" s="23">
        <v>0.13039999999999999</v>
      </c>
      <c r="O9" s="23">
        <f>(2/PI())*(ATAN((M9/N9)))</f>
        <v>0.59969585127662661</v>
      </c>
      <c r="P9" s="22">
        <v>50</v>
      </c>
      <c r="Q9" s="22">
        <v>300</v>
      </c>
      <c r="R9" s="22">
        <f t="shared" si="9"/>
        <v>750000</v>
      </c>
      <c r="S9" s="22">
        <f t="shared" si="10"/>
        <v>15000</v>
      </c>
      <c r="T9" s="22">
        <v>1000</v>
      </c>
    </row>
    <row r="10" spans="1:21" x14ac:dyDescent="0.25">
      <c r="A10" s="24">
        <v>1000</v>
      </c>
      <c r="B10" s="24">
        <v>400</v>
      </c>
      <c r="C10" s="25">
        <v>45.25</v>
      </c>
      <c r="D10" s="24">
        <v>61</v>
      </c>
      <c r="E10" s="24">
        <f t="shared" ref="E10" si="11">(T10*B10)/A10</f>
        <v>400</v>
      </c>
      <c r="F10" s="24">
        <f t="shared" ref="F10" si="12">(T10*(A10-B10)/A10)</f>
        <v>600</v>
      </c>
      <c r="G10" s="24">
        <f t="shared" ref="G10" si="13">(((2*B10)-A10)*(T10*C10))/A10</f>
        <v>-9050</v>
      </c>
      <c r="H10" s="24">
        <f t="shared" ref="H10" si="14">(((2*B10)-A10)*(T10))/A10</f>
        <v>-200</v>
      </c>
      <c r="I10" s="24">
        <f t="shared" ref="I10" si="15">T10*((A10-B10)/A10)</f>
        <v>600</v>
      </c>
      <c r="J10" s="24">
        <f t="shared" ref="J10" si="16">T10*(B10/A10)</f>
        <v>400</v>
      </c>
      <c r="K10" s="24">
        <f t="shared" ref="K10" si="17">G10/R10</f>
        <v>-1.2066666666666667E-2</v>
      </c>
      <c r="L10" s="24">
        <f t="shared" ref="L10" si="18">H10/S10</f>
        <v>-1.3333333333333334E-2</v>
      </c>
      <c r="M10" s="24">
        <v>0.1802</v>
      </c>
      <c r="N10" s="24">
        <v>0.13059999999999999</v>
      </c>
      <c r="O10" s="24">
        <f>(2/PI())*(ATAN((M10/N10)))</f>
        <v>0.60074741915468177</v>
      </c>
      <c r="P10" s="24">
        <v>50</v>
      </c>
      <c r="Q10" s="24">
        <v>300</v>
      </c>
      <c r="R10" s="24">
        <f t="shared" ref="R10" si="19">(P10*(Q10^2))/6</f>
        <v>750000</v>
      </c>
      <c r="S10" s="24">
        <f t="shared" ref="S10" si="20">P10*Q10</f>
        <v>15000</v>
      </c>
      <c r="T10" s="24">
        <v>1000</v>
      </c>
      <c r="U10" t="s">
        <v>25</v>
      </c>
    </row>
  </sheetData>
  <mergeCells count="1">
    <mergeCell ref="F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2E0BFDA19CD04BBBC0BCA164A788D2" ma:contentTypeVersion="12" ma:contentTypeDescription="Create a new document." ma:contentTypeScope="" ma:versionID="7fbbd0cf0f9d76d8c506aa59d1764726">
  <xsd:schema xmlns:xsd="http://www.w3.org/2001/XMLSchema" xmlns:xs="http://www.w3.org/2001/XMLSchema" xmlns:p="http://schemas.microsoft.com/office/2006/metadata/properties" xmlns:ns3="b86f656f-868b-466e-be8d-86f11f258c7c" targetNamespace="http://schemas.microsoft.com/office/2006/metadata/properties" ma:root="true" ma:fieldsID="2ca97ea48aa22325c8a21e6571da8d44" ns3:_="">
    <xsd:import namespace="b86f656f-868b-466e-be8d-86f11f258c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f656f-868b-466e-be8d-86f11f258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6f656f-868b-466e-be8d-86f11f258c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75D39D-09FF-48C7-91C1-A885ADD0C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6f656f-868b-466e-be8d-86f11f258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C0D9DB-793F-4E38-B53C-0A23F36A518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86f656f-868b-466e-be8d-86f11f258c7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C6F3476-9DFE-451A-BC72-2C886265A7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CALCULATION</vt:lpstr>
      <vt:lpstr>0.3</vt:lpstr>
      <vt:lpstr>0.6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VARSHNI M</dc:creator>
  <cp:lastModifiedBy>HEMA VARSHNI M</cp:lastModifiedBy>
  <dcterms:created xsi:type="dcterms:W3CDTF">2026-05-26T07:16:08Z</dcterms:created>
  <dcterms:modified xsi:type="dcterms:W3CDTF">2026-06-15T18:05:15Z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0x010100682E0BFDA19CD04BBBC0BCA164A788D2</vt:lpwstr>
  </property>
</Properties>
</file>