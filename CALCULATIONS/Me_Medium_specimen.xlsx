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SSN-Institute\"/>
    </mc:Choice>
  </mc:AlternateContent>
  <xr:revisionPtr revIDLastSave="0" documentId="13_ncr:1_{99602D16-767D-43A6-85F2-E25E76853543}" xr6:coauthVersionLast="47" xr6:coauthVersionMax="47" xr10:uidLastSave="{00000000-0000-0000-0000-000000000000}"/>
  <bookViews>
    <workbookView xWindow="-120" yWindow="-120" windowWidth="20730" windowHeight="11040" activeTab="1" xr2:uid="{D08F2DE5-F255-400D-8F5B-A6C66E7EC6CA}"/>
  </bookViews>
  <sheets>
    <sheet name="MANUAL CALCULATION" sheetId="2" r:id="rId1"/>
    <sheet name="0.3" sheetId="1" r:id="rId2"/>
    <sheet name="0.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9" i="2" l="1"/>
  <c r="F59" i="2"/>
  <c r="G59" i="2"/>
  <c r="K59" i="2" s="1"/>
  <c r="M59" i="2" s="1"/>
  <c r="O59" i="2" s="1"/>
  <c r="H59" i="2"/>
  <c r="I59" i="2"/>
  <c r="J59" i="2"/>
  <c r="L59" i="2"/>
  <c r="N59" i="2" s="1"/>
  <c r="R59" i="2"/>
  <c r="S59" i="2"/>
  <c r="E60" i="2"/>
  <c r="F60" i="2"/>
  <c r="G60" i="2"/>
  <c r="H60" i="2"/>
  <c r="I60" i="2"/>
  <c r="J60" i="2"/>
  <c r="K60" i="2"/>
  <c r="M60" i="2" s="1"/>
  <c r="O60" i="2" s="1"/>
  <c r="R60" i="2"/>
  <c r="S60" i="2"/>
  <c r="L60" i="2" s="1"/>
  <c r="N60" i="2" s="1"/>
  <c r="E61" i="2"/>
  <c r="F61" i="2"/>
  <c r="G61" i="2"/>
  <c r="K61" i="2" s="1"/>
  <c r="M61" i="2" s="1"/>
  <c r="O61" i="2" s="1"/>
  <c r="H61" i="2"/>
  <c r="I61" i="2"/>
  <c r="J61" i="2"/>
  <c r="L61" i="2"/>
  <c r="N61" i="2" s="1"/>
  <c r="R61" i="2"/>
  <c r="S61" i="2"/>
  <c r="E62" i="2"/>
  <c r="F62" i="2"/>
  <c r="G62" i="2"/>
  <c r="H62" i="2"/>
  <c r="I62" i="2"/>
  <c r="J62" i="2"/>
  <c r="K62" i="2"/>
  <c r="M62" i="2" s="1"/>
  <c r="L62" i="2"/>
  <c r="N62" i="2" s="1"/>
  <c r="R62" i="2"/>
  <c r="S62" i="2"/>
  <c r="E63" i="2"/>
  <c r="F63" i="2"/>
  <c r="G63" i="2"/>
  <c r="K63" i="2" s="1"/>
  <c r="M63" i="2" s="1"/>
  <c r="O63" i="2" s="1"/>
  <c r="H63" i="2"/>
  <c r="L63" i="2" s="1"/>
  <c r="N63" i="2" s="1"/>
  <c r="I63" i="2"/>
  <c r="J63" i="2"/>
  <c r="R63" i="2"/>
  <c r="S63" i="2"/>
  <c r="E21" i="2"/>
  <c r="F21" i="2"/>
  <c r="G21" i="2"/>
  <c r="H21" i="2"/>
  <c r="L21" i="2" s="1"/>
  <c r="N21" i="2" s="1"/>
  <c r="I21" i="2"/>
  <c r="J21" i="2"/>
  <c r="R21" i="2"/>
  <c r="S21" i="2"/>
  <c r="E22" i="2"/>
  <c r="F22" i="2"/>
  <c r="G22" i="2"/>
  <c r="H22" i="2"/>
  <c r="I22" i="2"/>
  <c r="J22" i="2"/>
  <c r="R22" i="2"/>
  <c r="S22" i="2"/>
  <c r="E23" i="2"/>
  <c r="F23" i="2"/>
  <c r="G23" i="2"/>
  <c r="H23" i="2"/>
  <c r="I23" i="2"/>
  <c r="J23" i="2"/>
  <c r="K23" i="2"/>
  <c r="M23" i="2" s="1"/>
  <c r="O23" i="2" s="1"/>
  <c r="L23" i="2"/>
  <c r="N23" i="2" s="1"/>
  <c r="R23" i="2"/>
  <c r="S23" i="2"/>
  <c r="E24" i="2"/>
  <c r="F24" i="2"/>
  <c r="G24" i="2"/>
  <c r="K24" i="2" s="1"/>
  <c r="M24" i="2" s="1"/>
  <c r="H24" i="2"/>
  <c r="L24" i="2" s="1"/>
  <c r="N24" i="2" s="1"/>
  <c r="I24" i="2"/>
  <c r="J24" i="2"/>
  <c r="R24" i="2"/>
  <c r="S24" i="2"/>
  <c r="E25" i="2"/>
  <c r="F25" i="2"/>
  <c r="G25" i="2"/>
  <c r="H25" i="2"/>
  <c r="L25" i="2" s="1"/>
  <c r="N25" i="2" s="1"/>
  <c r="I25" i="2"/>
  <c r="J25" i="2"/>
  <c r="R25" i="2"/>
  <c r="S25" i="2"/>
  <c r="E26" i="2"/>
  <c r="F26" i="2"/>
  <c r="G26" i="2"/>
  <c r="K26" i="2" s="1"/>
  <c r="M26" i="2" s="1"/>
  <c r="H26" i="2"/>
  <c r="L26" i="2" s="1"/>
  <c r="N26" i="2" s="1"/>
  <c r="I26" i="2"/>
  <c r="J26" i="2"/>
  <c r="R26" i="2"/>
  <c r="S26" i="2"/>
  <c r="E27" i="2"/>
  <c r="F27" i="2"/>
  <c r="G27" i="2"/>
  <c r="H27" i="2"/>
  <c r="I27" i="2"/>
  <c r="J27" i="2"/>
  <c r="R27" i="2"/>
  <c r="S27" i="2"/>
  <c r="E28" i="2"/>
  <c r="F28" i="2"/>
  <c r="G28" i="2"/>
  <c r="H28" i="2"/>
  <c r="I28" i="2"/>
  <c r="J28" i="2"/>
  <c r="K28" i="2"/>
  <c r="M28" i="2" s="1"/>
  <c r="R28" i="2"/>
  <c r="S28" i="2"/>
  <c r="L28" i="2" s="1"/>
  <c r="N28" i="2" s="1"/>
  <c r="E29" i="2"/>
  <c r="F29" i="2"/>
  <c r="G29" i="2"/>
  <c r="H29" i="2"/>
  <c r="L29" i="2" s="1"/>
  <c r="N29" i="2" s="1"/>
  <c r="I29" i="2"/>
  <c r="J29" i="2"/>
  <c r="R29" i="2"/>
  <c r="S29" i="2"/>
  <c r="E30" i="2"/>
  <c r="F30" i="2"/>
  <c r="G30" i="2"/>
  <c r="H30" i="2"/>
  <c r="I30" i="2"/>
  <c r="J30" i="2"/>
  <c r="R30" i="2"/>
  <c r="S30" i="2"/>
  <c r="E31" i="2"/>
  <c r="F31" i="2"/>
  <c r="G31" i="2"/>
  <c r="H31" i="2"/>
  <c r="I31" i="2"/>
  <c r="J31" i="2"/>
  <c r="K31" i="2"/>
  <c r="M31" i="2" s="1"/>
  <c r="O31" i="2" s="1"/>
  <c r="L31" i="2"/>
  <c r="N31" i="2" s="1"/>
  <c r="R31" i="2"/>
  <c r="S31" i="2"/>
  <c r="E32" i="2"/>
  <c r="F32" i="2"/>
  <c r="G32" i="2"/>
  <c r="K32" i="2" s="1"/>
  <c r="M32" i="2" s="1"/>
  <c r="H32" i="2"/>
  <c r="L32" i="2" s="1"/>
  <c r="N32" i="2" s="1"/>
  <c r="I32" i="2"/>
  <c r="J32" i="2"/>
  <c r="R32" i="2"/>
  <c r="S32" i="2"/>
  <c r="E33" i="2"/>
  <c r="F33" i="2"/>
  <c r="G33" i="2"/>
  <c r="H33" i="2"/>
  <c r="L33" i="2" s="1"/>
  <c r="N33" i="2" s="1"/>
  <c r="I33" i="2"/>
  <c r="J33" i="2"/>
  <c r="R33" i="2"/>
  <c r="S33" i="2"/>
  <c r="E34" i="2"/>
  <c r="F34" i="2"/>
  <c r="G34" i="2"/>
  <c r="K34" i="2" s="1"/>
  <c r="M34" i="2" s="1"/>
  <c r="O34" i="2" s="1"/>
  <c r="H34" i="2"/>
  <c r="L34" i="2" s="1"/>
  <c r="N34" i="2" s="1"/>
  <c r="I34" i="2"/>
  <c r="J34" i="2"/>
  <c r="R34" i="2"/>
  <c r="S34" i="2"/>
  <c r="E35" i="2"/>
  <c r="F35" i="2"/>
  <c r="G35" i="2"/>
  <c r="H35" i="2"/>
  <c r="I35" i="2"/>
  <c r="J35" i="2"/>
  <c r="R35" i="2"/>
  <c r="S35" i="2"/>
  <c r="E36" i="2"/>
  <c r="F36" i="2"/>
  <c r="G36" i="2"/>
  <c r="H36" i="2"/>
  <c r="I36" i="2"/>
  <c r="J36" i="2"/>
  <c r="K36" i="2"/>
  <c r="M36" i="2" s="1"/>
  <c r="R36" i="2"/>
  <c r="S36" i="2"/>
  <c r="L36" i="2" s="1"/>
  <c r="N36" i="2" s="1"/>
  <c r="E37" i="2"/>
  <c r="F37" i="2"/>
  <c r="G37" i="2"/>
  <c r="H37" i="2"/>
  <c r="I37" i="2"/>
  <c r="J37" i="2"/>
  <c r="R37" i="2"/>
  <c r="S37" i="2"/>
  <c r="L37" i="2" s="1"/>
  <c r="N37" i="2" s="1"/>
  <c r="E38" i="2"/>
  <c r="F38" i="2"/>
  <c r="G38" i="2"/>
  <c r="H38" i="2"/>
  <c r="I38" i="2"/>
  <c r="J38" i="2"/>
  <c r="R38" i="2"/>
  <c r="S38" i="2"/>
  <c r="E39" i="2"/>
  <c r="F39" i="2"/>
  <c r="G39" i="2"/>
  <c r="H39" i="2"/>
  <c r="I39" i="2"/>
  <c r="J39" i="2"/>
  <c r="K39" i="2"/>
  <c r="M39" i="2" s="1"/>
  <c r="O39" i="2" s="1"/>
  <c r="L39" i="2"/>
  <c r="N39" i="2" s="1"/>
  <c r="R39" i="2"/>
  <c r="S39" i="2"/>
  <c r="E40" i="2"/>
  <c r="F40" i="2"/>
  <c r="G40" i="2"/>
  <c r="H40" i="2"/>
  <c r="L40" i="2" s="1"/>
  <c r="N40" i="2" s="1"/>
  <c r="I40" i="2"/>
  <c r="J40" i="2"/>
  <c r="R40" i="2"/>
  <c r="S40" i="2"/>
  <c r="E41" i="2"/>
  <c r="F41" i="2"/>
  <c r="G41" i="2"/>
  <c r="H41" i="2"/>
  <c r="L41" i="2" s="1"/>
  <c r="N41" i="2" s="1"/>
  <c r="I41" i="2"/>
  <c r="J41" i="2"/>
  <c r="R41" i="2"/>
  <c r="K41" i="2" s="1"/>
  <c r="M41" i="2" s="1"/>
  <c r="S41" i="2"/>
  <c r="E42" i="2"/>
  <c r="F42" i="2"/>
  <c r="G42" i="2"/>
  <c r="H42" i="2"/>
  <c r="L42" i="2" s="1"/>
  <c r="N42" i="2" s="1"/>
  <c r="I42" i="2"/>
  <c r="J42" i="2"/>
  <c r="R42" i="2"/>
  <c r="K42" i="2" s="1"/>
  <c r="M42" i="2" s="1"/>
  <c r="O42" i="2" s="1"/>
  <c r="S42" i="2"/>
  <c r="E43" i="2"/>
  <c r="F43" i="2"/>
  <c r="G43" i="2"/>
  <c r="H43" i="2"/>
  <c r="L43" i="2" s="1"/>
  <c r="N43" i="2" s="1"/>
  <c r="I43" i="2"/>
  <c r="J43" i="2"/>
  <c r="R43" i="2"/>
  <c r="S43" i="2"/>
  <c r="E44" i="2"/>
  <c r="F44" i="2"/>
  <c r="G44" i="2"/>
  <c r="H44" i="2"/>
  <c r="I44" i="2"/>
  <c r="J44" i="2"/>
  <c r="K44" i="2"/>
  <c r="M44" i="2" s="1"/>
  <c r="R44" i="2"/>
  <c r="S44" i="2"/>
  <c r="L44" i="2" s="1"/>
  <c r="N44" i="2" s="1"/>
  <c r="E45" i="2"/>
  <c r="F45" i="2"/>
  <c r="G45" i="2"/>
  <c r="H45" i="2"/>
  <c r="I45" i="2"/>
  <c r="J45" i="2"/>
  <c r="R45" i="2"/>
  <c r="S45" i="2"/>
  <c r="L45" i="2" s="1"/>
  <c r="N45" i="2" s="1"/>
  <c r="E46" i="2"/>
  <c r="F46" i="2"/>
  <c r="G46" i="2"/>
  <c r="H46" i="2"/>
  <c r="I46" i="2"/>
  <c r="J46" i="2"/>
  <c r="R46" i="2"/>
  <c r="S46" i="2"/>
  <c r="E47" i="2"/>
  <c r="F47" i="2"/>
  <c r="G47" i="2"/>
  <c r="H47" i="2"/>
  <c r="I47" i="2"/>
  <c r="J47" i="2"/>
  <c r="K47" i="2"/>
  <c r="M47" i="2" s="1"/>
  <c r="O47" i="2" s="1"/>
  <c r="L47" i="2"/>
  <c r="N47" i="2" s="1"/>
  <c r="R47" i="2"/>
  <c r="S47" i="2"/>
  <c r="E48" i="2"/>
  <c r="F48" i="2"/>
  <c r="G48" i="2"/>
  <c r="H48" i="2"/>
  <c r="L48" i="2" s="1"/>
  <c r="N48" i="2" s="1"/>
  <c r="I48" i="2"/>
  <c r="J48" i="2"/>
  <c r="R48" i="2"/>
  <c r="S48" i="2"/>
  <c r="E49" i="2"/>
  <c r="F49" i="2"/>
  <c r="G49" i="2"/>
  <c r="H49" i="2"/>
  <c r="L49" i="2" s="1"/>
  <c r="N49" i="2" s="1"/>
  <c r="I49" i="2"/>
  <c r="J49" i="2"/>
  <c r="R49" i="2"/>
  <c r="K49" i="2" s="1"/>
  <c r="M49" i="2" s="1"/>
  <c r="S49" i="2"/>
  <c r="E50" i="2"/>
  <c r="F50" i="2"/>
  <c r="G50" i="2"/>
  <c r="H50" i="2"/>
  <c r="I50" i="2"/>
  <c r="J50" i="2"/>
  <c r="K50" i="2"/>
  <c r="M50" i="2" s="1"/>
  <c r="R50" i="2"/>
  <c r="S50" i="2"/>
  <c r="E51" i="2"/>
  <c r="F51" i="2"/>
  <c r="G51" i="2"/>
  <c r="K51" i="2" s="1"/>
  <c r="M51" i="2" s="1"/>
  <c r="O51" i="2" s="1"/>
  <c r="H51" i="2"/>
  <c r="L51" i="2" s="1"/>
  <c r="N51" i="2" s="1"/>
  <c r="I51" i="2"/>
  <c r="J51" i="2"/>
  <c r="R51" i="2"/>
  <c r="S51" i="2"/>
  <c r="E52" i="2"/>
  <c r="F52" i="2"/>
  <c r="G52" i="2"/>
  <c r="K52" i="2" s="1"/>
  <c r="M52" i="2" s="1"/>
  <c r="H52" i="2"/>
  <c r="I52" i="2"/>
  <c r="J52" i="2"/>
  <c r="R52" i="2"/>
  <c r="S52" i="2"/>
  <c r="L52" i="2" s="1"/>
  <c r="N52" i="2" s="1"/>
  <c r="E53" i="2"/>
  <c r="F53" i="2"/>
  <c r="G53" i="2"/>
  <c r="H53" i="2"/>
  <c r="L53" i="2" s="1"/>
  <c r="N53" i="2" s="1"/>
  <c r="I53" i="2"/>
  <c r="J53" i="2"/>
  <c r="R53" i="2"/>
  <c r="S53" i="2"/>
  <c r="E54" i="2"/>
  <c r="F54" i="2"/>
  <c r="G54" i="2"/>
  <c r="H54" i="2"/>
  <c r="L54" i="2" s="1"/>
  <c r="N54" i="2" s="1"/>
  <c r="I54" i="2"/>
  <c r="J54" i="2"/>
  <c r="R54" i="2"/>
  <c r="S54" i="2"/>
  <c r="E55" i="2"/>
  <c r="F55" i="2"/>
  <c r="G55" i="2"/>
  <c r="H55" i="2"/>
  <c r="L55" i="2" s="1"/>
  <c r="N55" i="2" s="1"/>
  <c r="I55" i="2"/>
  <c r="J55" i="2"/>
  <c r="K55" i="2"/>
  <c r="M55" i="2" s="1"/>
  <c r="O55" i="2" s="1"/>
  <c r="R55" i="2"/>
  <c r="S55" i="2"/>
  <c r="E56" i="2"/>
  <c r="F56" i="2"/>
  <c r="G56" i="2"/>
  <c r="H56" i="2"/>
  <c r="L56" i="2" s="1"/>
  <c r="N56" i="2" s="1"/>
  <c r="I56" i="2"/>
  <c r="J56" i="2"/>
  <c r="R56" i="2"/>
  <c r="S56" i="2"/>
  <c r="E57" i="2"/>
  <c r="F57" i="2"/>
  <c r="G57" i="2"/>
  <c r="H57" i="2"/>
  <c r="L57" i="2" s="1"/>
  <c r="N57" i="2" s="1"/>
  <c r="I57" i="2"/>
  <c r="J57" i="2"/>
  <c r="R57" i="2"/>
  <c r="K57" i="2" s="1"/>
  <c r="M57" i="2" s="1"/>
  <c r="S57" i="2"/>
  <c r="E58" i="2"/>
  <c r="F58" i="2"/>
  <c r="G58" i="2"/>
  <c r="H58" i="2"/>
  <c r="I58" i="2"/>
  <c r="J58" i="2"/>
  <c r="K58" i="2"/>
  <c r="M58" i="2" s="1"/>
  <c r="R58" i="2"/>
  <c r="S58" i="2"/>
  <c r="E9" i="2"/>
  <c r="F9" i="2"/>
  <c r="G9" i="2"/>
  <c r="K9" i="2" s="1"/>
  <c r="M9" i="2" s="1"/>
  <c r="H9" i="2"/>
  <c r="I9" i="2"/>
  <c r="J9" i="2"/>
  <c r="R9" i="2"/>
  <c r="S9" i="2"/>
  <c r="E10" i="2"/>
  <c r="F10" i="2"/>
  <c r="G10" i="2"/>
  <c r="K10" i="2" s="1"/>
  <c r="M10" i="2" s="1"/>
  <c r="H10" i="2"/>
  <c r="I10" i="2"/>
  <c r="J10" i="2"/>
  <c r="R10" i="2"/>
  <c r="S10" i="2"/>
  <c r="E11" i="2"/>
  <c r="F11" i="2"/>
  <c r="G11" i="2"/>
  <c r="K11" i="2" s="1"/>
  <c r="M11" i="2" s="1"/>
  <c r="H11" i="2"/>
  <c r="I11" i="2"/>
  <c r="J11" i="2"/>
  <c r="R11" i="2"/>
  <c r="S11" i="2"/>
  <c r="E12" i="2"/>
  <c r="F12" i="2"/>
  <c r="G12" i="2"/>
  <c r="H12" i="2"/>
  <c r="I12" i="2"/>
  <c r="J12" i="2"/>
  <c r="R12" i="2"/>
  <c r="S12" i="2"/>
  <c r="E13" i="2"/>
  <c r="F13" i="2"/>
  <c r="G13" i="2"/>
  <c r="H13" i="2"/>
  <c r="I13" i="2"/>
  <c r="J13" i="2"/>
  <c r="R13" i="2"/>
  <c r="S13" i="2"/>
  <c r="E14" i="2"/>
  <c r="F14" i="2"/>
  <c r="G14" i="2"/>
  <c r="K14" i="2" s="1"/>
  <c r="M14" i="2" s="1"/>
  <c r="H14" i="2"/>
  <c r="I14" i="2"/>
  <c r="J14" i="2"/>
  <c r="R14" i="2"/>
  <c r="S14" i="2"/>
  <c r="E15" i="2"/>
  <c r="F15" i="2"/>
  <c r="G15" i="2"/>
  <c r="H15" i="2"/>
  <c r="I15" i="2"/>
  <c r="J15" i="2"/>
  <c r="R15" i="2"/>
  <c r="S15" i="2"/>
  <c r="E16" i="2"/>
  <c r="F16" i="2"/>
  <c r="G16" i="2"/>
  <c r="H16" i="2"/>
  <c r="I16" i="2"/>
  <c r="J16" i="2"/>
  <c r="R16" i="2"/>
  <c r="S16" i="2"/>
  <c r="E17" i="2"/>
  <c r="F17" i="2"/>
  <c r="G17" i="2"/>
  <c r="K17" i="2" s="1"/>
  <c r="M17" i="2" s="1"/>
  <c r="H17" i="2"/>
  <c r="I17" i="2"/>
  <c r="J17" i="2"/>
  <c r="R17" i="2"/>
  <c r="S17" i="2"/>
  <c r="E18" i="2"/>
  <c r="F18" i="2"/>
  <c r="G18" i="2"/>
  <c r="H18" i="2"/>
  <c r="I18" i="2"/>
  <c r="J18" i="2"/>
  <c r="R18" i="2"/>
  <c r="S18" i="2"/>
  <c r="E19" i="2"/>
  <c r="F19" i="2"/>
  <c r="G19" i="2"/>
  <c r="H19" i="2"/>
  <c r="I19" i="2"/>
  <c r="J19" i="2"/>
  <c r="R19" i="2"/>
  <c r="S19" i="2"/>
  <c r="E20" i="2"/>
  <c r="F20" i="2"/>
  <c r="G20" i="2"/>
  <c r="H20" i="2"/>
  <c r="I20" i="2"/>
  <c r="J20" i="2"/>
  <c r="R20" i="2"/>
  <c r="S20" i="2"/>
  <c r="O26" i="2" l="1"/>
  <c r="O62" i="2"/>
  <c r="K56" i="2"/>
  <c r="M56" i="2" s="1"/>
  <c r="O56" i="2" s="1"/>
  <c r="L50" i="2"/>
  <c r="N50" i="2" s="1"/>
  <c r="O50" i="2" s="1"/>
  <c r="L46" i="2"/>
  <c r="N46" i="2" s="1"/>
  <c r="L38" i="2"/>
  <c r="N38" i="2" s="1"/>
  <c r="L30" i="2"/>
  <c r="N30" i="2" s="1"/>
  <c r="L22" i="2"/>
  <c r="N22" i="2" s="1"/>
  <c r="O22" i="2" s="1"/>
  <c r="K46" i="2"/>
  <c r="M46" i="2" s="1"/>
  <c r="K38" i="2"/>
  <c r="M38" i="2" s="1"/>
  <c r="O38" i="2" s="1"/>
  <c r="K30" i="2"/>
  <c r="M30" i="2" s="1"/>
  <c r="K22" i="2"/>
  <c r="M22" i="2" s="1"/>
  <c r="L58" i="2"/>
  <c r="N58" i="2" s="1"/>
  <c r="O58" i="2" s="1"/>
  <c r="O49" i="2"/>
  <c r="K45" i="2"/>
  <c r="M45" i="2" s="1"/>
  <c r="O45" i="2" s="1"/>
  <c r="O41" i="2"/>
  <c r="K37" i="2"/>
  <c r="M37" i="2" s="1"/>
  <c r="O37" i="2" s="1"/>
  <c r="L35" i="2"/>
  <c r="N35" i="2" s="1"/>
  <c r="K33" i="2"/>
  <c r="M33" i="2" s="1"/>
  <c r="K29" i="2"/>
  <c r="M29" i="2" s="1"/>
  <c r="O29" i="2" s="1"/>
  <c r="L27" i="2"/>
  <c r="N27" i="2" s="1"/>
  <c r="K25" i="2"/>
  <c r="M25" i="2" s="1"/>
  <c r="K21" i="2"/>
  <c r="M21" i="2" s="1"/>
  <c r="O21" i="2" s="1"/>
  <c r="K54" i="2"/>
  <c r="M54" i="2" s="1"/>
  <c r="O54" i="2" s="1"/>
  <c r="K43" i="2"/>
  <c r="M43" i="2" s="1"/>
  <c r="O43" i="2" s="1"/>
  <c r="K35" i="2"/>
  <c r="M35" i="2" s="1"/>
  <c r="K27" i="2"/>
  <c r="M27" i="2" s="1"/>
  <c r="K53" i="2"/>
  <c r="M53" i="2" s="1"/>
  <c r="O53" i="2" s="1"/>
  <c r="L17" i="2"/>
  <c r="N17" i="2" s="1"/>
  <c r="L14" i="2"/>
  <c r="N14" i="2" s="1"/>
  <c r="O14" i="2" s="1"/>
  <c r="K48" i="2"/>
  <c r="M48" i="2" s="1"/>
  <c r="K40" i="2"/>
  <c r="M40" i="2" s="1"/>
  <c r="O40" i="2" s="1"/>
  <c r="O48" i="2"/>
  <c r="O32" i="2"/>
  <c r="O24" i="2"/>
  <c r="O44" i="2"/>
  <c r="O36" i="2"/>
  <c r="O28" i="2"/>
  <c r="O52" i="2"/>
  <c r="O46" i="2"/>
  <c r="O30" i="2"/>
  <c r="O33" i="2"/>
  <c r="O25" i="2"/>
  <c r="O35" i="2"/>
  <c r="O27" i="2"/>
  <c r="O57" i="2"/>
  <c r="L19" i="2"/>
  <c r="N19" i="2" s="1"/>
  <c r="L11" i="2"/>
  <c r="N11" i="2" s="1"/>
  <c r="O11" i="2" s="1"/>
  <c r="K16" i="2"/>
  <c r="M16" i="2" s="1"/>
  <c r="L20" i="2"/>
  <c r="N20" i="2" s="1"/>
  <c r="K19" i="2"/>
  <c r="M19" i="2" s="1"/>
  <c r="K18" i="2"/>
  <c r="M18" i="2" s="1"/>
  <c r="L12" i="2"/>
  <c r="N12" i="2" s="1"/>
  <c r="L10" i="2"/>
  <c r="N10" i="2" s="1"/>
  <c r="L9" i="2"/>
  <c r="N9" i="2" s="1"/>
  <c r="L16" i="2"/>
  <c r="N16" i="2" s="1"/>
  <c r="O16" i="2" s="1"/>
  <c r="L15" i="2"/>
  <c r="N15" i="2" s="1"/>
  <c r="K15" i="2"/>
  <c r="M15" i="2" s="1"/>
  <c r="L13" i="2"/>
  <c r="N13" i="2" s="1"/>
  <c r="K13" i="2"/>
  <c r="M13" i="2" s="1"/>
  <c r="O13" i="2" s="1"/>
  <c r="K12" i="2"/>
  <c r="M12" i="2" s="1"/>
  <c r="K20" i="2"/>
  <c r="M20" i="2" s="1"/>
  <c r="L18" i="2"/>
  <c r="N18" i="2" s="1"/>
  <c r="O18" i="2" s="1"/>
  <c r="O9" i="2"/>
  <c r="O17" i="2"/>
  <c r="O10" i="2"/>
  <c r="O15" i="2" l="1"/>
  <c r="O19" i="2"/>
  <c r="O12" i="2"/>
  <c r="O20" i="2"/>
  <c r="E8" i="2"/>
  <c r="F8" i="2"/>
  <c r="G8" i="2"/>
  <c r="H8" i="2"/>
  <c r="I8" i="2"/>
  <c r="J8" i="2"/>
  <c r="R8" i="2"/>
  <c r="S8" i="2"/>
  <c r="K8" i="2" l="1"/>
  <c r="M8" i="2" s="1"/>
  <c r="L8" i="2"/>
  <c r="N8" i="2" s="1"/>
  <c r="S6" i="2"/>
  <c r="S7" i="2"/>
  <c r="R6" i="2"/>
  <c r="R7" i="2"/>
  <c r="J6" i="2"/>
  <c r="J7" i="2"/>
  <c r="I6" i="2"/>
  <c r="I7" i="2"/>
  <c r="H6" i="2"/>
  <c r="H7" i="2"/>
  <c r="L7" i="2" s="1"/>
  <c r="N7" i="2" s="1"/>
  <c r="G6" i="2"/>
  <c r="G7" i="2"/>
  <c r="F7" i="2"/>
  <c r="F6" i="2"/>
  <c r="E7" i="2"/>
  <c r="E6" i="2"/>
  <c r="O8" i="2" l="1"/>
  <c r="L6" i="2"/>
  <c r="N6" i="2" s="1"/>
  <c r="K6" i="2"/>
  <c r="M6" i="2" s="1"/>
  <c r="K7" i="2"/>
  <c r="M7" i="2" s="1"/>
  <c r="O7" i="2" s="1"/>
  <c r="S5" i="1"/>
  <c r="S10" i="3"/>
  <c r="R10" i="3"/>
  <c r="O10" i="3"/>
  <c r="J10" i="3"/>
  <c r="I10" i="3"/>
  <c r="H10" i="3"/>
  <c r="G10" i="3"/>
  <c r="F10" i="3"/>
  <c r="E10" i="3"/>
  <c r="S9" i="3"/>
  <c r="R9" i="3"/>
  <c r="O9" i="3"/>
  <c r="J9" i="3"/>
  <c r="I9" i="3"/>
  <c r="H9" i="3"/>
  <c r="L9" i="3" s="1"/>
  <c r="G9" i="3"/>
  <c r="F9" i="3"/>
  <c r="E9" i="3"/>
  <c r="S8" i="3"/>
  <c r="R8" i="3"/>
  <c r="O8" i="3"/>
  <c r="J8" i="3"/>
  <c r="I8" i="3"/>
  <c r="H8" i="3"/>
  <c r="G8" i="3"/>
  <c r="K8" i="3" s="1"/>
  <c r="F8" i="3"/>
  <c r="E8" i="3"/>
  <c r="S7" i="3"/>
  <c r="R7" i="3"/>
  <c r="O7" i="3"/>
  <c r="J7" i="3"/>
  <c r="I7" i="3"/>
  <c r="H7" i="3"/>
  <c r="L7" i="3" s="1"/>
  <c r="G7" i="3"/>
  <c r="F7" i="3"/>
  <c r="E7" i="3"/>
  <c r="S6" i="3"/>
  <c r="R6" i="3"/>
  <c r="O6" i="3"/>
  <c r="J6" i="3"/>
  <c r="I6" i="3"/>
  <c r="H6" i="3"/>
  <c r="G6" i="3"/>
  <c r="F6" i="3"/>
  <c r="E6" i="3"/>
  <c r="S5" i="3"/>
  <c r="R5" i="3"/>
  <c r="O5" i="3"/>
  <c r="J5" i="3"/>
  <c r="I5" i="3"/>
  <c r="H5" i="3"/>
  <c r="G5" i="3"/>
  <c r="F5" i="3"/>
  <c r="E5" i="3"/>
  <c r="S8" i="1"/>
  <c r="R8" i="1"/>
  <c r="O8" i="1"/>
  <c r="J8" i="1"/>
  <c r="I8" i="1"/>
  <c r="H8" i="1"/>
  <c r="G8" i="1"/>
  <c r="F8" i="1"/>
  <c r="E8" i="1"/>
  <c r="S7" i="1"/>
  <c r="R7" i="1"/>
  <c r="O7" i="1"/>
  <c r="K7" i="1"/>
  <c r="J7" i="1"/>
  <c r="I7" i="1"/>
  <c r="H7" i="1"/>
  <c r="G7" i="1"/>
  <c r="F7" i="1"/>
  <c r="E7" i="1"/>
  <c r="S6" i="1"/>
  <c r="R6" i="1"/>
  <c r="O6" i="1"/>
  <c r="J6" i="1"/>
  <c r="I6" i="1"/>
  <c r="H6" i="1"/>
  <c r="G6" i="1"/>
  <c r="F6" i="1"/>
  <c r="E6" i="1"/>
  <c r="R5" i="1"/>
  <c r="O5" i="1"/>
  <c r="J5" i="1"/>
  <c r="I5" i="1"/>
  <c r="H5" i="1"/>
  <c r="G5" i="1"/>
  <c r="F5" i="1"/>
  <c r="E5" i="1"/>
  <c r="K10" i="3" l="1"/>
  <c r="L6" i="3"/>
  <c r="K7" i="3"/>
  <c r="L8" i="3"/>
  <c r="K9" i="3"/>
  <c r="L5" i="3"/>
  <c r="K6" i="3"/>
  <c r="L10" i="3"/>
  <c r="K5" i="3"/>
  <c r="L6" i="1"/>
  <c r="L7" i="1"/>
  <c r="K6" i="1"/>
  <c r="K8" i="1"/>
  <c r="L8" i="1"/>
  <c r="L5" i="1"/>
  <c r="K5" i="1"/>
  <c r="O6" i="2"/>
</calcChain>
</file>

<file path=xl/sharedStrings.xml><?xml version="1.0" encoding="utf-8"?>
<sst xmlns="http://schemas.openxmlformats.org/spreadsheetml/2006/main" count="65" uniqueCount="24">
  <si>
    <t>ABAQUS MODEL - 0.3</t>
  </si>
  <si>
    <t>l</t>
  </si>
  <si>
    <t>x</t>
  </si>
  <si>
    <t>c</t>
  </si>
  <si>
    <t>a</t>
  </si>
  <si>
    <t>Ra</t>
  </si>
  <si>
    <t>Rb</t>
  </si>
  <si>
    <t>BM</t>
  </si>
  <si>
    <t>SF</t>
  </si>
  <si>
    <t>P1</t>
  </si>
  <si>
    <t>P2</t>
  </si>
  <si>
    <t>Bending Stress</t>
  </si>
  <si>
    <t>Shear Stress</t>
  </si>
  <si>
    <t>K1</t>
  </si>
  <si>
    <t>K2</t>
  </si>
  <si>
    <t>Me</t>
  </si>
  <si>
    <t>b</t>
  </si>
  <si>
    <t>d</t>
  </si>
  <si>
    <t>Z</t>
  </si>
  <si>
    <t>bd</t>
  </si>
  <si>
    <t>Load(p)</t>
  </si>
  <si>
    <t>ABAQUS MODEL - 0.6</t>
  </si>
  <si>
    <t>ALL DIMENSIONS ARE IN MM AND 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</si>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</sst>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0E6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00C18-8E7A-4D13-94CF-7B2BEBC22349}" name="Table1" displayName="Table1" ref="A5:T63" totalsRowShown="0" headerRowDxfId="21" dataDxfId="20">
  <autoFilter ref="A5:T63" xr:uid="{E7D00C18-8E7A-4D13-94CF-7B2BEBC223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FACD172E-5A3B-4515-830B-AD8C34A0E258}" name="l" dataDxfId="19"/>
    <tableColumn id="2" xr3:uid="{E04A3B44-A3CA-4A98-A355-304BD59F8A8F}" name="x" dataDxfId="18"/>
    <tableColumn id="3" xr3:uid="{F80BA4E0-5FEC-4564-871A-E39B442F05EB}" name="c" dataDxfId="17"/>
    <tableColumn id="4" xr3:uid="{59FECEAA-FA9D-4D90-8266-E38247378130}" name="a" dataDxfId="16"/>
    <tableColumn id="5" xr3:uid="{11FD9869-ED09-4712-93CD-70B86FC66B6C}" name="Ra" dataDxfId="15">
      <calculatedColumnFormula>(Table1[[#This Row],[Load(p)]]*Table1[[#This Row],[x]])/Table1[[#This Row],[l]]</calculatedColumnFormula>
    </tableColumn>
    <tableColumn id="6" xr3:uid="{197C8BB0-A697-4B37-970D-C928398B6877}" name="Rb" dataDxfId="14">
      <calculatedColumnFormula>(Table1[[#This Row],[Load(p)]]*(Table1[[#This Row],[l]]-Table1[[#This Row],[x]])/Table1[[#This Row],[l]])</calculatedColumnFormula>
    </tableColumn>
    <tableColumn id="7" xr3:uid="{C77F9888-E2BA-444A-9A3E-6A78217F775C}" name="BM" dataDxfId="13">
      <calculatedColumnFormula>(((2*Table1[[#This Row],[x]])-Table1[[#This Row],[l]])*(Table1[[#This Row],[Load(p)]]*Table1[[#This Row],[c]]))/Table1[[#This Row],[l]]</calculatedColumnFormula>
    </tableColumn>
    <tableColumn id="8" xr3:uid="{7A882900-C6CC-4FC0-8A67-F16CC749288E}" name="SF" dataDxfId="12">
      <calculatedColumnFormula>(((2*Table1[[#This Row],[x]])-Table1[[#This Row],[l]])*(Table1[[#This Row],[Load(p)]]))/Table1[[#This Row],[l]]</calculatedColumnFormula>
    </tableColumn>
    <tableColumn id="9" xr3:uid="{A9E79845-CB93-4F59-8DBA-756FAB90EE28}" name="P1" dataDxfId="11">
      <calculatedColumnFormula>(Table1[[#This Row],[Load(p)]]*(Table1[[#This Row],[l]]-Table1[[#This Row],[x]]))/Table1[[#This Row],[l]]</calculatedColumnFormula>
    </tableColumn>
    <tableColumn id="10" xr3:uid="{AC895B5A-BB5E-48A0-80D6-D82845233AAA}" name="P2" dataDxfId="10">
      <calculatedColumnFormula>(Table1[[#This Row],[Load(p)]]*Table1[[#This Row],[x]])/Table1[[#This Row],[l]]</calculatedColumnFormula>
    </tableColumn>
    <tableColumn id="11" xr3:uid="{12FE9A37-1A72-4345-AE20-D312504F4F28}" name="Bending Stress" dataDxfId="9">
      <calculatedColumnFormula>Table1[[#This Row],[BM]]/Table1[[#This Row],[Z]]</calculatedColumnFormula>
    </tableColumn>
    <tableColumn id="12" xr3:uid="{92A67726-6ECF-433B-AD5E-C9F91B54CC79}" name="Shear Stress" dataDxfId="8">
      <calculatedColumnFormula>Table1[[#This Row],[SF]]/Table1[[#This Row],[bd]]</calculatedColumnFormula>
    </tableColumn>
    <tableColumn id="13" xr3:uid="{57672BFB-0BBB-4771-A7C3-809B8701B296}" name="K1" dataDxfId="7">
      <calculatedColumnFormula>(K6)*SQRT(PI()*D6)</calculatedColumnFormula>
    </tableColumn>
    <tableColumn id="14" xr3:uid="{C45D786A-6F27-4F4F-9864-0CE26663B343}" name="K2" dataDxfId="6">
      <calculatedColumnFormula>(Table1[[#This Row],[Shear Stress]])*SQRT(PI()*Table1[[#This Row],[a]])</calculatedColumnFormula>
    </tableColumn>
    <tableColumn id="15" xr3:uid="{6B6FC444-ABCE-44E6-8702-9C45BB2D932A}" name="Me" dataDxfId="5">
      <calculatedColumnFormula>(2/PI())*(ATAN((M6/N6)))</calculatedColumnFormula>
    </tableColumn>
    <tableColumn id="16" xr3:uid="{C653C7FF-C36C-4FDB-BF02-07D58B983590}" name="b" dataDxfId="4"/>
    <tableColumn id="17" xr3:uid="{AB718769-A391-44BD-AEC2-03974FBF41CC}" name="d" dataDxfId="3"/>
    <tableColumn id="18" xr3:uid="{8B7B16BC-C1FD-41CF-9022-3DA255BF046B}" name="Z" dataDxfId="2">
      <calculatedColumnFormula>(Table1[[#This Row],[b]]*(Table1[[#This Row],[d]]^2))/6</calculatedColumnFormula>
    </tableColumn>
    <tableColumn id="19" xr3:uid="{AA2B075B-0ADE-488C-A3F9-84998A6E5333}" name="bd" dataDxfId="1">
      <calculatedColumnFormula>Table1[[#This Row],[b]]*Table1[[#This Row],[d]]</calculatedColumnFormula>
    </tableColumn>
    <tableColumn id="20" xr3:uid="{1029D91D-9E75-4812-A3D7-7323E2ECD0AB}" name="Load(p)" dataDxfId="0"/>
  </tableColumns>
  <tableStyleInfo name="TableStyleLight1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6C63-6196-44EE-BA36-46F5C0B1704F}">
  <dimension ref="A1:T63"/>
  <sheetViews>
    <sheetView topLeftCell="A25" workbookViewId="0">
      <selection activeCell="A31" sqref="A31:XFD31"/>
    </sheetView>
  </sheetViews>
  <sheetFormatPr defaultRowHeight="15" x14ac:dyDescent="0.25"/>
  <cols>
    <col min="11" max="11" width="16" customWidth="1"/>
    <col min="12" max="12" width="13.85546875" customWidth="1"/>
    <col min="20" max="20" width="10" customWidth="1"/>
  </cols>
  <sheetData>
    <row r="1" spans="1:20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4"/>
      <c r="B2" s="4"/>
      <c r="C2" s="4"/>
      <c r="D2" s="4"/>
      <c r="E2" s="12" t="s">
        <v>22</v>
      </c>
      <c r="F2" s="12"/>
      <c r="G2" s="12"/>
      <c r="H2" s="12"/>
      <c r="I2" s="12"/>
      <c r="J2" s="12"/>
      <c r="K2" s="12"/>
      <c r="L2" s="12"/>
      <c r="M2" s="12"/>
      <c r="N2" s="12"/>
      <c r="O2" s="4"/>
      <c r="P2" s="4"/>
      <c r="Q2" s="4"/>
      <c r="R2" s="4"/>
      <c r="S2" s="4"/>
      <c r="T2" s="4"/>
    </row>
    <row r="3" spans="1:20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5" t="s">
        <v>20</v>
      </c>
    </row>
    <row r="6" spans="1:20" x14ac:dyDescent="0.25">
      <c r="A6" s="6">
        <v>500</v>
      </c>
      <c r="B6" s="6">
        <v>200</v>
      </c>
      <c r="C6" s="6">
        <v>7.5</v>
      </c>
      <c r="D6" s="6">
        <v>30</v>
      </c>
      <c r="E6" s="6">
        <f>(Table1[[#This Row],[Load(p)]]*Table1[[#This Row],[x]])/Table1[[#This Row],[l]]</f>
        <v>400</v>
      </c>
      <c r="F6" s="6">
        <f>(Table1[[#This Row],[Load(p)]]*(Table1[[#This Row],[l]]-Table1[[#This Row],[x]])/Table1[[#This Row],[l]])</f>
        <v>600</v>
      </c>
      <c r="G6" s="6">
        <f>(((2*Table1[[#This Row],[x]])-Table1[[#This Row],[l]])*(Table1[[#This Row],[Load(p)]]*Table1[[#This Row],[c]]))/Table1[[#This Row],[l]]</f>
        <v>-1500</v>
      </c>
      <c r="H6" s="6">
        <f>(((2*Table1[[#This Row],[x]])-Table1[[#This Row],[l]])*(Table1[[#This Row],[Load(p)]]))/Table1[[#This Row],[l]]</f>
        <v>-200</v>
      </c>
      <c r="I6" s="6">
        <f>(Table1[[#This Row],[Load(p)]]*(Table1[[#This Row],[l]]-Table1[[#This Row],[x]]))/Table1[[#This Row],[l]]</f>
        <v>600</v>
      </c>
      <c r="J6" s="6">
        <f>(Table1[[#This Row],[Load(p)]]*Table1[[#This Row],[x]])/Table1[[#This Row],[l]]</f>
        <v>400</v>
      </c>
      <c r="K6" s="6">
        <f>Table1[[#This Row],[BM]]/Table1[[#This Row],[Z]]</f>
        <v>-8.0000000000000002E-3</v>
      </c>
      <c r="L6" s="6">
        <f>Table1[[#This Row],[SF]]/Table1[[#This Row],[bd]]</f>
        <v>-2.6666666666666668E-2</v>
      </c>
      <c r="M6" s="8">
        <f t="shared" ref="M6:M7" si="0">(K6)*SQRT(PI()*D6)</f>
        <v>-7.766503650222796E-2</v>
      </c>
      <c r="N6" s="8">
        <f>(Table1[[#This Row],[Shear Stress]])*SQRT(PI()*Table1[[#This Row],[a]])</f>
        <v>-0.25888345500742654</v>
      </c>
      <c r="O6" s="8">
        <f t="shared" ref="O6:O7" si="1">(2/PI())*(ATAN((M6/N6)))</f>
        <v>0.1855471581554847</v>
      </c>
      <c r="P6" s="6">
        <v>50</v>
      </c>
      <c r="Q6" s="6">
        <v>150</v>
      </c>
      <c r="R6" s="6">
        <f>(Table1[[#This Row],[b]]*(Table1[[#This Row],[d]]^2))/6</f>
        <v>187500</v>
      </c>
      <c r="S6" s="6">
        <f>Table1[[#This Row],[b]]*Table1[[#This Row],[d]]</f>
        <v>7500</v>
      </c>
      <c r="T6" s="6">
        <v>1000</v>
      </c>
    </row>
    <row r="7" spans="1:20" x14ac:dyDescent="0.25">
      <c r="A7" s="6">
        <v>500</v>
      </c>
      <c r="B7" s="6">
        <v>200</v>
      </c>
      <c r="C7" s="6">
        <v>8</v>
      </c>
      <c r="D7" s="6">
        <v>30</v>
      </c>
      <c r="E7" s="6">
        <f>(Table1[[#This Row],[Load(p)]]*Table1[[#This Row],[x]])/Table1[[#This Row],[l]]</f>
        <v>400</v>
      </c>
      <c r="F7" s="6">
        <f>(Table1[[#This Row],[Load(p)]]*(Table1[[#This Row],[l]]-Table1[[#This Row],[x]])/Table1[[#This Row],[l]])</f>
        <v>600</v>
      </c>
      <c r="G7" s="6">
        <f>(((2*Table1[[#This Row],[x]])-Table1[[#This Row],[l]])*(Table1[[#This Row],[Load(p)]]*Table1[[#This Row],[c]]))/Table1[[#This Row],[l]]</f>
        <v>-1600</v>
      </c>
      <c r="H7" s="6">
        <f>(((2*Table1[[#This Row],[x]])-Table1[[#This Row],[l]])*(Table1[[#This Row],[Load(p)]]))/Table1[[#This Row],[l]]</f>
        <v>-200</v>
      </c>
      <c r="I7" s="6">
        <f>(Table1[[#This Row],[Load(p)]]*(Table1[[#This Row],[l]]-Table1[[#This Row],[x]]))/Table1[[#This Row],[l]]</f>
        <v>600</v>
      </c>
      <c r="J7" s="6">
        <f>(Table1[[#This Row],[Load(p)]]*Table1[[#This Row],[x]])/Table1[[#This Row],[l]]</f>
        <v>400</v>
      </c>
      <c r="K7" s="6">
        <f>Table1[[#This Row],[BM]]/Table1[[#This Row],[Z]]</f>
        <v>-8.5333333333333337E-3</v>
      </c>
      <c r="L7" s="6">
        <f>Table1[[#This Row],[SF]]/Table1[[#This Row],[bd]]</f>
        <v>-2.6666666666666668E-2</v>
      </c>
      <c r="M7" s="8">
        <f t="shared" si="0"/>
        <v>-8.2842705602376498E-2</v>
      </c>
      <c r="N7" s="8">
        <f>(Table1[[#This Row],[Shear Stress]])*SQRT(PI()*Table1[[#This Row],[a]])</f>
        <v>-0.25888345500742654</v>
      </c>
      <c r="O7" s="8">
        <f t="shared" si="1"/>
        <v>0.19716301805618816</v>
      </c>
      <c r="P7" s="6">
        <v>50</v>
      </c>
      <c r="Q7" s="6">
        <v>150</v>
      </c>
      <c r="R7" s="6">
        <f>(Table1[[#This Row],[b]]*(Table1[[#This Row],[d]]^2))/6</f>
        <v>187500</v>
      </c>
      <c r="S7" s="6">
        <f>Table1[[#This Row],[b]]*Table1[[#This Row],[d]]</f>
        <v>7500</v>
      </c>
      <c r="T7" s="6">
        <v>1000</v>
      </c>
    </row>
    <row r="8" spans="1:20" x14ac:dyDescent="0.25">
      <c r="A8" s="6">
        <v>500</v>
      </c>
      <c r="B8" s="6">
        <v>200</v>
      </c>
      <c r="C8" s="6">
        <v>8.5</v>
      </c>
      <c r="D8" s="6">
        <v>30</v>
      </c>
      <c r="E8" s="6">
        <f>(Table1[[#This Row],[Load(p)]]*Table1[[#This Row],[x]])/Table1[[#This Row],[l]]</f>
        <v>400</v>
      </c>
      <c r="F8" s="6">
        <f>(Table1[[#This Row],[Load(p)]]*(Table1[[#This Row],[l]]-Table1[[#This Row],[x]])/Table1[[#This Row],[l]])</f>
        <v>600</v>
      </c>
      <c r="G8" s="6">
        <f>(((2*Table1[[#This Row],[x]])-Table1[[#This Row],[l]])*(Table1[[#This Row],[Load(p)]]*Table1[[#This Row],[c]]))/Table1[[#This Row],[l]]</f>
        <v>-1700</v>
      </c>
      <c r="H8" s="6">
        <f>(((2*Table1[[#This Row],[x]])-Table1[[#This Row],[l]])*(Table1[[#This Row],[Load(p)]]))/Table1[[#This Row],[l]]</f>
        <v>-200</v>
      </c>
      <c r="I8" s="6">
        <f>(Table1[[#This Row],[Load(p)]]*(Table1[[#This Row],[l]]-Table1[[#This Row],[x]]))/Table1[[#This Row],[l]]</f>
        <v>600</v>
      </c>
      <c r="J8" s="6">
        <f>(Table1[[#This Row],[Load(p)]]*Table1[[#This Row],[x]])/Table1[[#This Row],[l]]</f>
        <v>400</v>
      </c>
      <c r="K8" s="6">
        <f>Table1[[#This Row],[BM]]/Table1[[#This Row],[Z]]</f>
        <v>-9.0666666666666673E-3</v>
      </c>
      <c r="L8" s="6">
        <f>Table1[[#This Row],[SF]]/Table1[[#This Row],[bd]]</f>
        <v>-2.6666666666666668E-2</v>
      </c>
      <c r="M8" s="8">
        <f t="shared" ref="M8:M10" si="2">(K8)*SQRT(PI()*D8)</f>
        <v>-8.8020374702525037E-2</v>
      </c>
      <c r="N8" s="8">
        <f>(Table1[[#This Row],[Shear Stress]])*SQRT(PI()*Table1[[#This Row],[a]])</f>
        <v>-0.25888345500742654</v>
      </c>
      <c r="O8" s="8">
        <f t="shared" ref="O8:O10" si="3">(2/PI())*(ATAN((M8/N8)))</f>
        <v>0.20864481358272827</v>
      </c>
      <c r="P8" s="6">
        <v>50</v>
      </c>
      <c r="Q8" s="6">
        <v>150</v>
      </c>
      <c r="R8" s="6">
        <f>(Table1[[#This Row],[b]]*(Table1[[#This Row],[d]]^2))/6</f>
        <v>187500</v>
      </c>
      <c r="S8" s="6">
        <f>Table1[[#This Row],[b]]*Table1[[#This Row],[d]]</f>
        <v>7500</v>
      </c>
      <c r="T8" s="6">
        <v>1000</v>
      </c>
    </row>
    <row r="9" spans="1:20" x14ac:dyDescent="0.25">
      <c r="A9" s="6">
        <v>500</v>
      </c>
      <c r="B9" s="6">
        <v>200</v>
      </c>
      <c r="C9" s="6">
        <v>9</v>
      </c>
      <c r="D9" s="6">
        <v>30</v>
      </c>
      <c r="E9" s="6">
        <f>(Table1[[#This Row],[Load(p)]]*Table1[[#This Row],[x]])/Table1[[#This Row],[l]]</f>
        <v>400</v>
      </c>
      <c r="F9" s="6">
        <f>(Table1[[#This Row],[Load(p)]]*(Table1[[#This Row],[l]]-Table1[[#This Row],[x]])/Table1[[#This Row],[l]])</f>
        <v>600</v>
      </c>
      <c r="G9" s="6">
        <f>(((2*Table1[[#This Row],[x]])-Table1[[#This Row],[l]])*(Table1[[#This Row],[Load(p)]]*Table1[[#This Row],[c]]))/Table1[[#This Row],[l]]</f>
        <v>-1800</v>
      </c>
      <c r="H9" s="6">
        <f>(((2*Table1[[#This Row],[x]])-Table1[[#This Row],[l]])*(Table1[[#This Row],[Load(p)]]))/Table1[[#This Row],[l]]</f>
        <v>-200</v>
      </c>
      <c r="I9" s="6">
        <f>(Table1[[#This Row],[Load(p)]]*(Table1[[#This Row],[l]]-Table1[[#This Row],[x]]))/Table1[[#This Row],[l]]</f>
        <v>600</v>
      </c>
      <c r="J9" s="6">
        <f>(Table1[[#This Row],[Load(p)]]*Table1[[#This Row],[x]])/Table1[[#This Row],[l]]</f>
        <v>400</v>
      </c>
      <c r="K9" s="6">
        <f>Table1[[#This Row],[BM]]/Table1[[#This Row],[Z]]</f>
        <v>-9.5999999999999992E-3</v>
      </c>
      <c r="L9" s="6">
        <f>Table1[[#This Row],[SF]]/Table1[[#This Row],[bd]]</f>
        <v>-2.6666666666666668E-2</v>
      </c>
      <c r="M9" s="8">
        <f t="shared" si="2"/>
        <v>-9.3198043802673547E-2</v>
      </c>
      <c r="N9" s="8">
        <f>(Table1[[#This Row],[Shear Stress]])*SQRT(PI()*Table1[[#This Row],[a]])</f>
        <v>-0.25888345500742654</v>
      </c>
      <c r="O9" s="8">
        <f t="shared" si="3"/>
        <v>0.21998751505027703</v>
      </c>
      <c r="P9" s="6">
        <v>50</v>
      </c>
      <c r="Q9" s="6">
        <v>150</v>
      </c>
      <c r="R9" s="6">
        <f>(Table1[[#This Row],[b]]*(Table1[[#This Row],[d]]^2))/6</f>
        <v>187500</v>
      </c>
      <c r="S9" s="6">
        <f>Table1[[#This Row],[b]]*Table1[[#This Row],[d]]</f>
        <v>7500</v>
      </c>
      <c r="T9" s="6">
        <v>1000</v>
      </c>
    </row>
    <row r="10" spans="1:20" x14ac:dyDescent="0.25">
      <c r="A10" s="6">
        <v>500</v>
      </c>
      <c r="B10" s="6">
        <v>200</v>
      </c>
      <c r="C10" s="6">
        <v>9.5</v>
      </c>
      <c r="D10" s="6">
        <v>30</v>
      </c>
      <c r="E10" s="6">
        <f>(Table1[[#This Row],[Load(p)]]*Table1[[#This Row],[x]])/Table1[[#This Row],[l]]</f>
        <v>400</v>
      </c>
      <c r="F10" s="6">
        <f>(Table1[[#This Row],[Load(p)]]*(Table1[[#This Row],[l]]-Table1[[#This Row],[x]])/Table1[[#This Row],[l]])</f>
        <v>600</v>
      </c>
      <c r="G10" s="6">
        <f>(((2*Table1[[#This Row],[x]])-Table1[[#This Row],[l]])*(Table1[[#This Row],[Load(p)]]*Table1[[#This Row],[c]]))/Table1[[#This Row],[l]]</f>
        <v>-1900</v>
      </c>
      <c r="H10" s="6">
        <f>(((2*Table1[[#This Row],[x]])-Table1[[#This Row],[l]])*(Table1[[#This Row],[Load(p)]]))/Table1[[#This Row],[l]]</f>
        <v>-200</v>
      </c>
      <c r="I10" s="6">
        <f>(Table1[[#This Row],[Load(p)]]*(Table1[[#This Row],[l]]-Table1[[#This Row],[x]]))/Table1[[#This Row],[l]]</f>
        <v>600</v>
      </c>
      <c r="J10" s="6">
        <f>(Table1[[#This Row],[Load(p)]]*Table1[[#This Row],[x]])/Table1[[#This Row],[l]]</f>
        <v>400</v>
      </c>
      <c r="K10" s="6">
        <f>Table1[[#This Row],[BM]]/Table1[[#This Row],[Z]]</f>
        <v>-1.0133333333333333E-2</v>
      </c>
      <c r="L10" s="6">
        <f>Table1[[#This Row],[SF]]/Table1[[#This Row],[bd]]</f>
        <v>-2.6666666666666668E-2</v>
      </c>
      <c r="M10" s="8">
        <f t="shared" si="2"/>
        <v>-9.8375712902822085E-2</v>
      </c>
      <c r="N10" s="8">
        <f>(Table1[[#This Row],[Shear Stress]])*SQRT(PI()*Table1[[#This Row],[a]])</f>
        <v>-0.25888345500742654</v>
      </c>
      <c r="O10" s="8">
        <f t="shared" si="3"/>
        <v>0.23118656680790256</v>
      </c>
      <c r="P10" s="6">
        <v>50</v>
      </c>
      <c r="Q10" s="6">
        <v>150</v>
      </c>
      <c r="R10" s="6">
        <f>(Table1[[#This Row],[b]]*(Table1[[#This Row],[d]]^2))/6</f>
        <v>187500</v>
      </c>
      <c r="S10" s="6">
        <f>Table1[[#This Row],[b]]*Table1[[#This Row],[d]]</f>
        <v>7500</v>
      </c>
      <c r="T10" s="6">
        <v>1000</v>
      </c>
    </row>
    <row r="11" spans="1:20" x14ac:dyDescent="0.25">
      <c r="A11" s="6">
        <v>500</v>
      </c>
      <c r="B11" s="6">
        <v>200</v>
      </c>
      <c r="C11" s="6">
        <v>10</v>
      </c>
      <c r="D11" s="6">
        <v>30</v>
      </c>
      <c r="E11" s="6">
        <f>(Table1[[#This Row],[Load(p)]]*Table1[[#This Row],[x]])/Table1[[#This Row],[l]]</f>
        <v>400</v>
      </c>
      <c r="F11" s="6">
        <f>(Table1[[#This Row],[Load(p)]]*(Table1[[#This Row],[l]]-Table1[[#This Row],[x]])/Table1[[#This Row],[l]])</f>
        <v>600</v>
      </c>
      <c r="G11" s="6">
        <f>(((2*Table1[[#This Row],[x]])-Table1[[#This Row],[l]])*(Table1[[#This Row],[Load(p)]]*Table1[[#This Row],[c]]))/Table1[[#This Row],[l]]</f>
        <v>-2000</v>
      </c>
      <c r="H11" s="6">
        <f>(((2*Table1[[#This Row],[x]])-Table1[[#This Row],[l]])*(Table1[[#This Row],[Load(p)]]))/Table1[[#This Row],[l]]</f>
        <v>-200</v>
      </c>
      <c r="I11" s="6">
        <f>(Table1[[#This Row],[Load(p)]]*(Table1[[#This Row],[l]]-Table1[[#This Row],[x]]))/Table1[[#This Row],[l]]</f>
        <v>600</v>
      </c>
      <c r="J11" s="6">
        <f>(Table1[[#This Row],[Load(p)]]*Table1[[#This Row],[x]])/Table1[[#This Row],[l]]</f>
        <v>400</v>
      </c>
      <c r="K11" s="6">
        <f>Table1[[#This Row],[BM]]/Table1[[#This Row],[Z]]</f>
        <v>-1.0666666666666666E-2</v>
      </c>
      <c r="L11" s="6">
        <f>Table1[[#This Row],[SF]]/Table1[[#This Row],[bd]]</f>
        <v>-2.6666666666666668E-2</v>
      </c>
      <c r="M11" s="8">
        <f t="shared" ref="M11:M20" si="4">(K11)*SQRT(PI()*D11)</f>
        <v>-0.10355338200297061</v>
      </c>
      <c r="N11" s="8">
        <f>(Table1[[#This Row],[Shear Stress]])*SQRT(PI()*Table1[[#This Row],[a]])</f>
        <v>-0.25888345500742654</v>
      </c>
      <c r="O11" s="8">
        <f t="shared" ref="O11:O20" si="5">(2/PI())*(ATAN((M11/N11)))</f>
        <v>0.24223788318168679</v>
      </c>
      <c r="P11" s="6">
        <v>50</v>
      </c>
      <c r="Q11" s="6">
        <v>150</v>
      </c>
      <c r="R11" s="6">
        <f>(Table1[[#This Row],[b]]*(Table1[[#This Row],[d]]^2))/6</f>
        <v>187500</v>
      </c>
      <c r="S11" s="6">
        <f>Table1[[#This Row],[b]]*Table1[[#This Row],[d]]</f>
        <v>7500</v>
      </c>
      <c r="T11" s="6">
        <v>1000</v>
      </c>
    </row>
    <row r="12" spans="1:20" x14ac:dyDescent="0.25">
      <c r="A12" s="6">
        <v>500</v>
      </c>
      <c r="B12" s="6">
        <v>200</v>
      </c>
      <c r="C12" s="6">
        <v>10.5</v>
      </c>
      <c r="D12" s="6">
        <v>30</v>
      </c>
      <c r="E12" s="6">
        <f>(Table1[[#This Row],[Load(p)]]*Table1[[#This Row],[x]])/Table1[[#This Row],[l]]</f>
        <v>400</v>
      </c>
      <c r="F12" s="6">
        <f>(Table1[[#This Row],[Load(p)]]*(Table1[[#This Row],[l]]-Table1[[#This Row],[x]])/Table1[[#This Row],[l]])</f>
        <v>600</v>
      </c>
      <c r="G12" s="6">
        <f>(((2*Table1[[#This Row],[x]])-Table1[[#This Row],[l]])*(Table1[[#This Row],[Load(p)]]*Table1[[#This Row],[c]]))/Table1[[#This Row],[l]]</f>
        <v>-2100</v>
      </c>
      <c r="H12" s="6">
        <f>(((2*Table1[[#This Row],[x]])-Table1[[#This Row],[l]])*(Table1[[#This Row],[Load(p)]]))/Table1[[#This Row],[l]]</f>
        <v>-200</v>
      </c>
      <c r="I12" s="6">
        <f>(Table1[[#This Row],[Load(p)]]*(Table1[[#This Row],[l]]-Table1[[#This Row],[x]]))/Table1[[#This Row],[l]]</f>
        <v>600</v>
      </c>
      <c r="J12" s="6">
        <f>(Table1[[#This Row],[Load(p)]]*Table1[[#This Row],[x]])/Table1[[#This Row],[l]]</f>
        <v>400</v>
      </c>
      <c r="K12" s="6">
        <f>Table1[[#This Row],[BM]]/Table1[[#This Row],[Z]]</f>
        <v>-1.12E-2</v>
      </c>
      <c r="L12" s="6">
        <f>Table1[[#This Row],[SF]]/Table1[[#This Row],[bd]]</f>
        <v>-2.6666666666666668E-2</v>
      </c>
      <c r="M12" s="8">
        <f t="shared" si="4"/>
        <v>-0.10873105110311915</v>
      </c>
      <c r="N12" s="8">
        <f>(Table1[[#This Row],[Shear Stress]])*SQRT(PI()*Table1[[#This Row],[a]])</f>
        <v>-0.25888345500742654</v>
      </c>
      <c r="O12" s="8">
        <f t="shared" si="5"/>
        <v>0.25313784144979651</v>
      </c>
      <c r="P12" s="6">
        <v>50</v>
      </c>
      <c r="Q12" s="6">
        <v>150</v>
      </c>
      <c r="R12" s="6">
        <f>(Table1[[#This Row],[b]]*(Table1[[#This Row],[d]]^2))/6</f>
        <v>187500</v>
      </c>
      <c r="S12" s="6">
        <f>Table1[[#This Row],[b]]*Table1[[#This Row],[d]]</f>
        <v>7500</v>
      </c>
      <c r="T12" s="6">
        <v>1000</v>
      </c>
    </row>
    <row r="13" spans="1:20" x14ac:dyDescent="0.25">
      <c r="A13" s="6">
        <v>500</v>
      </c>
      <c r="B13" s="6">
        <v>200</v>
      </c>
      <c r="C13" s="6">
        <v>11</v>
      </c>
      <c r="D13" s="6">
        <v>30</v>
      </c>
      <c r="E13" s="6">
        <f>(Table1[[#This Row],[Load(p)]]*Table1[[#This Row],[x]])/Table1[[#This Row],[l]]</f>
        <v>400</v>
      </c>
      <c r="F13" s="6">
        <f>(Table1[[#This Row],[Load(p)]]*(Table1[[#This Row],[l]]-Table1[[#This Row],[x]])/Table1[[#This Row],[l]])</f>
        <v>600</v>
      </c>
      <c r="G13" s="6">
        <f>(((2*Table1[[#This Row],[x]])-Table1[[#This Row],[l]])*(Table1[[#This Row],[Load(p)]]*Table1[[#This Row],[c]]))/Table1[[#This Row],[l]]</f>
        <v>-2200</v>
      </c>
      <c r="H13" s="6">
        <f>(((2*Table1[[#This Row],[x]])-Table1[[#This Row],[l]])*(Table1[[#This Row],[Load(p)]]))/Table1[[#This Row],[l]]</f>
        <v>-200</v>
      </c>
      <c r="I13" s="6">
        <f>(Table1[[#This Row],[Load(p)]]*(Table1[[#This Row],[l]]-Table1[[#This Row],[x]]))/Table1[[#This Row],[l]]</f>
        <v>600</v>
      </c>
      <c r="J13" s="6">
        <f>(Table1[[#This Row],[Load(p)]]*Table1[[#This Row],[x]])/Table1[[#This Row],[l]]</f>
        <v>400</v>
      </c>
      <c r="K13" s="6">
        <f>Table1[[#This Row],[BM]]/Table1[[#This Row],[Z]]</f>
        <v>-1.1733333333333333E-2</v>
      </c>
      <c r="L13" s="6">
        <f>Table1[[#This Row],[SF]]/Table1[[#This Row],[bd]]</f>
        <v>-2.6666666666666668E-2</v>
      </c>
      <c r="M13" s="8">
        <f t="shared" si="4"/>
        <v>-0.11390872020326769</v>
      </c>
      <c r="N13" s="8">
        <f>(Table1[[#This Row],[Shear Stress]])*SQRT(PI()*Table1[[#This Row],[a]])</f>
        <v>-0.25888345500742654</v>
      </c>
      <c r="O13" s="8">
        <f t="shared" si="5"/>
        <v>0.26388327214296403</v>
      </c>
      <c r="P13" s="6">
        <v>50</v>
      </c>
      <c r="Q13" s="6">
        <v>150</v>
      </c>
      <c r="R13" s="6">
        <f>(Table1[[#This Row],[b]]*(Table1[[#This Row],[d]]^2))/6</f>
        <v>187500</v>
      </c>
      <c r="S13" s="6">
        <f>Table1[[#This Row],[b]]*Table1[[#This Row],[d]]</f>
        <v>7500</v>
      </c>
      <c r="T13" s="6">
        <v>1000</v>
      </c>
    </row>
    <row r="14" spans="1:20" x14ac:dyDescent="0.25">
      <c r="A14" s="6">
        <v>500</v>
      </c>
      <c r="B14" s="6">
        <v>200</v>
      </c>
      <c r="C14" s="6">
        <v>11.5</v>
      </c>
      <c r="D14" s="6">
        <v>30</v>
      </c>
      <c r="E14" s="6">
        <f>(Table1[[#This Row],[Load(p)]]*Table1[[#This Row],[x]])/Table1[[#This Row],[l]]</f>
        <v>400</v>
      </c>
      <c r="F14" s="6">
        <f>(Table1[[#This Row],[Load(p)]]*(Table1[[#This Row],[l]]-Table1[[#This Row],[x]])/Table1[[#This Row],[l]])</f>
        <v>600</v>
      </c>
      <c r="G14" s="6">
        <f>(((2*Table1[[#This Row],[x]])-Table1[[#This Row],[l]])*(Table1[[#This Row],[Load(p)]]*Table1[[#This Row],[c]]))/Table1[[#This Row],[l]]</f>
        <v>-2300</v>
      </c>
      <c r="H14" s="6">
        <f>(((2*Table1[[#This Row],[x]])-Table1[[#This Row],[l]])*(Table1[[#This Row],[Load(p)]]))/Table1[[#This Row],[l]]</f>
        <v>-200</v>
      </c>
      <c r="I14" s="6">
        <f>(Table1[[#This Row],[Load(p)]]*(Table1[[#This Row],[l]]-Table1[[#This Row],[x]]))/Table1[[#This Row],[l]]</f>
        <v>600</v>
      </c>
      <c r="J14" s="6">
        <f>(Table1[[#This Row],[Load(p)]]*Table1[[#This Row],[x]])/Table1[[#This Row],[l]]</f>
        <v>400</v>
      </c>
      <c r="K14" s="6">
        <f>Table1[[#This Row],[BM]]/Table1[[#This Row],[Z]]</f>
        <v>-1.2266666666666667E-2</v>
      </c>
      <c r="L14" s="6">
        <f>Table1[[#This Row],[SF]]/Table1[[#This Row],[bd]]</f>
        <v>-2.6666666666666668E-2</v>
      </c>
      <c r="M14" s="8">
        <f t="shared" si="4"/>
        <v>-0.11908638930341621</v>
      </c>
      <c r="N14" s="8">
        <f>(Table1[[#This Row],[Shear Stress]])*SQRT(PI()*Table1[[#This Row],[a]])</f>
        <v>-0.25888345500742654</v>
      </c>
      <c r="O14" s="8">
        <f t="shared" si="5"/>
        <v>0.27447144697523684</v>
      </c>
      <c r="P14" s="6">
        <v>50</v>
      </c>
      <c r="Q14" s="6">
        <v>150</v>
      </c>
      <c r="R14" s="6">
        <f>(Table1[[#This Row],[b]]*(Table1[[#This Row],[d]]^2))/6</f>
        <v>187500</v>
      </c>
      <c r="S14" s="6">
        <f>Table1[[#This Row],[b]]*Table1[[#This Row],[d]]</f>
        <v>7500</v>
      </c>
      <c r="T14" s="6">
        <v>1000</v>
      </c>
    </row>
    <row r="15" spans="1:20" x14ac:dyDescent="0.25">
      <c r="A15" s="6">
        <v>500</v>
      </c>
      <c r="B15" s="6">
        <v>200</v>
      </c>
      <c r="C15" s="6">
        <v>12</v>
      </c>
      <c r="D15" s="6">
        <v>30</v>
      </c>
      <c r="E15" s="6">
        <f>(Table1[[#This Row],[Load(p)]]*Table1[[#This Row],[x]])/Table1[[#This Row],[l]]</f>
        <v>400</v>
      </c>
      <c r="F15" s="6">
        <f>(Table1[[#This Row],[Load(p)]]*(Table1[[#This Row],[l]]-Table1[[#This Row],[x]])/Table1[[#This Row],[l]])</f>
        <v>600</v>
      </c>
      <c r="G15" s="6">
        <f>(((2*Table1[[#This Row],[x]])-Table1[[#This Row],[l]])*(Table1[[#This Row],[Load(p)]]*Table1[[#This Row],[c]]))/Table1[[#This Row],[l]]</f>
        <v>-2400</v>
      </c>
      <c r="H15" s="6">
        <f>(((2*Table1[[#This Row],[x]])-Table1[[#This Row],[l]])*(Table1[[#This Row],[Load(p)]]))/Table1[[#This Row],[l]]</f>
        <v>-200</v>
      </c>
      <c r="I15" s="6">
        <f>(Table1[[#This Row],[Load(p)]]*(Table1[[#This Row],[l]]-Table1[[#This Row],[x]]))/Table1[[#This Row],[l]]</f>
        <v>600</v>
      </c>
      <c r="J15" s="6">
        <f>(Table1[[#This Row],[Load(p)]]*Table1[[#This Row],[x]])/Table1[[#This Row],[l]]</f>
        <v>400</v>
      </c>
      <c r="K15" s="6">
        <f>Table1[[#This Row],[BM]]/Table1[[#This Row],[Z]]</f>
        <v>-1.2800000000000001E-2</v>
      </c>
      <c r="L15" s="6">
        <f>Table1[[#This Row],[SF]]/Table1[[#This Row],[bd]]</f>
        <v>-2.6666666666666668E-2</v>
      </c>
      <c r="M15" s="8">
        <f t="shared" si="4"/>
        <v>-0.12426405840356475</v>
      </c>
      <c r="N15" s="8">
        <f>(Table1[[#This Row],[Shear Stress]])*SQRT(PI()*Table1[[#This Row],[a]])</f>
        <v>-0.25888345500742654</v>
      </c>
      <c r="O15" s="8">
        <f t="shared" si="5"/>
        <v>0.28490006471450319</v>
      </c>
      <c r="P15" s="6">
        <v>50</v>
      </c>
      <c r="Q15" s="6">
        <v>150</v>
      </c>
      <c r="R15" s="6">
        <f>(Table1[[#This Row],[b]]*(Table1[[#This Row],[d]]^2))/6</f>
        <v>187500</v>
      </c>
      <c r="S15" s="6">
        <f>Table1[[#This Row],[b]]*Table1[[#This Row],[d]]</f>
        <v>7500</v>
      </c>
      <c r="T15" s="6">
        <v>1000</v>
      </c>
    </row>
    <row r="16" spans="1:20" x14ac:dyDescent="0.25">
      <c r="A16" s="6">
        <v>500</v>
      </c>
      <c r="B16" s="6">
        <v>200</v>
      </c>
      <c r="C16" s="6">
        <v>12.5</v>
      </c>
      <c r="D16" s="6">
        <v>30</v>
      </c>
      <c r="E16" s="6">
        <f>(Table1[[#This Row],[Load(p)]]*Table1[[#This Row],[x]])/Table1[[#This Row],[l]]</f>
        <v>400</v>
      </c>
      <c r="F16" s="6">
        <f>(Table1[[#This Row],[Load(p)]]*(Table1[[#This Row],[l]]-Table1[[#This Row],[x]])/Table1[[#This Row],[l]])</f>
        <v>600</v>
      </c>
      <c r="G16" s="6">
        <f>(((2*Table1[[#This Row],[x]])-Table1[[#This Row],[l]])*(Table1[[#This Row],[Load(p)]]*Table1[[#This Row],[c]]))/Table1[[#This Row],[l]]</f>
        <v>-2500</v>
      </c>
      <c r="H16" s="6">
        <f>(((2*Table1[[#This Row],[x]])-Table1[[#This Row],[l]])*(Table1[[#This Row],[Load(p)]]))/Table1[[#This Row],[l]]</f>
        <v>-200</v>
      </c>
      <c r="I16" s="6">
        <f>(Table1[[#This Row],[Load(p)]]*(Table1[[#This Row],[l]]-Table1[[#This Row],[x]]))/Table1[[#This Row],[l]]</f>
        <v>600</v>
      </c>
      <c r="J16" s="6">
        <f>(Table1[[#This Row],[Load(p)]]*Table1[[#This Row],[x]])/Table1[[#This Row],[l]]</f>
        <v>400</v>
      </c>
      <c r="K16" s="6">
        <f>Table1[[#This Row],[BM]]/Table1[[#This Row],[Z]]</f>
        <v>-1.3333333333333334E-2</v>
      </c>
      <c r="L16" s="6">
        <f>Table1[[#This Row],[SF]]/Table1[[#This Row],[bd]]</f>
        <v>-2.6666666666666668E-2</v>
      </c>
      <c r="M16" s="8">
        <f t="shared" si="4"/>
        <v>-0.12944172750371327</v>
      </c>
      <c r="N16" s="8">
        <f>(Table1[[#This Row],[Shear Stress]])*SQRT(PI()*Table1[[#This Row],[a]])</f>
        <v>-0.25888345500742654</v>
      </c>
      <c r="O16" s="8">
        <f t="shared" si="5"/>
        <v>0.29516723530086653</v>
      </c>
      <c r="P16" s="6">
        <v>50</v>
      </c>
      <c r="Q16" s="6">
        <v>150</v>
      </c>
      <c r="R16" s="6">
        <f>(Table1[[#This Row],[b]]*(Table1[[#This Row],[d]]^2))/6</f>
        <v>187500</v>
      </c>
      <c r="S16" s="6">
        <f>Table1[[#This Row],[b]]*Table1[[#This Row],[d]]</f>
        <v>7500</v>
      </c>
      <c r="T16" s="6">
        <v>1000</v>
      </c>
    </row>
    <row r="17" spans="1:20" x14ac:dyDescent="0.25">
      <c r="A17" s="6">
        <v>500</v>
      </c>
      <c r="B17" s="6">
        <v>200</v>
      </c>
      <c r="C17" s="6">
        <v>13</v>
      </c>
      <c r="D17" s="6">
        <v>30</v>
      </c>
      <c r="E17" s="6">
        <f>(Table1[[#This Row],[Load(p)]]*Table1[[#This Row],[x]])/Table1[[#This Row],[l]]</f>
        <v>400</v>
      </c>
      <c r="F17" s="6">
        <f>(Table1[[#This Row],[Load(p)]]*(Table1[[#This Row],[l]]-Table1[[#This Row],[x]])/Table1[[#This Row],[l]])</f>
        <v>600</v>
      </c>
      <c r="G17" s="6">
        <f>(((2*Table1[[#This Row],[x]])-Table1[[#This Row],[l]])*(Table1[[#This Row],[Load(p)]]*Table1[[#This Row],[c]]))/Table1[[#This Row],[l]]</f>
        <v>-2600</v>
      </c>
      <c r="H17" s="6">
        <f>(((2*Table1[[#This Row],[x]])-Table1[[#This Row],[l]])*(Table1[[#This Row],[Load(p)]]))/Table1[[#This Row],[l]]</f>
        <v>-200</v>
      </c>
      <c r="I17" s="6">
        <f>(Table1[[#This Row],[Load(p)]]*(Table1[[#This Row],[l]]-Table1[[#This Row],[x]]))/Table1[[#This Row],[l]]</f>
        <v>600</v>
      </c>
      <c r="J17" s="6">
        <f>(Table1[[#This Row],[Load(p)]]*Table1[[#This Row],[x]])/Table1[[#This Row],[l]]</f>
        <v>400</v>
      </c>
      <c r="K17" s="6">
        <f>Table1[[#This Row],[BM]]/Table1[[#This Row],[Z]]</f>
        <v>-1.3866666666666666E-2</v>
      </c>
      <c r="L17" s="6">
        <f>Table1[[#This Row],[SF]]/Table1[[#This Row],[bd]]</f>
        <v>-2.6666666666666668E-2</v>
      </c>
      <c r="M17" s="8">
        <f t="shared" si="4"/>
        <v>-0.1346193966038618</v>
      </c>
      <c r="N17" s="8">
        <f>(Table1[[#This Row],[Shear Stress]])*SQRT(PI()*Table1[[#This Row],[a]])</f>
        <v>-0.25888345500742654</v>
      </c>
      <c r="O17" s="8">
        <f t="shared" si="5"/>
        <v>0.30527146251419035</v>
      </c>
      <c r="P17" s="6">
        <v>50</v>
      </c>
      <c r="Q17" s="6">
        <v>150</v>
      </c>
      <c r="R17" s="6">
        <f>(Table1[[#This Row],[b]]*(Table1[[#This Row],[d]]^2))/6</f>
        <v>187500</v>
      </c>
      <c r="S17" s="6">
        <f>Table1[[#This Row],[b]]*Table1[[#This Row],[d]]</f>
        <v>7500</v>
      </c>
      <c r="T17" s="6">
        <v>1000</v>
      </c>
    </row>
    <row r="18" spans="1:20" x14ac:dyDescent="0.25">
      <c r="A18" s="6">
        <v>500</v>
      </c>
      <c r="B18" s="6">
        <v>200</v>
      </c>
      <c r="C18" s="6">
        <v>13.5</v>
      </c>
      <c r="D18" s="6">
        <v>30</v>
      </c>
      <c r="E18" s="6">
        <f>(Table1[[#This Row],[Load(p)]]*Table1[[#This Row],[x]])/Table1[[#This Row],[l]]</f>
        <v>400</v>
      </c>
      <c r="F18" s="6">
        <f>(Table1[[#This Row],[Load(p)]]*(Table1[[#This Row],[l]]-Table1[[#This Row],[x]])/Table1[[#This Row],[l]])</f>
        <v>600</v>
      </c>
      <c r="G18" s="6">
        <f>(((2*Table1[[#This Row],[x]])-Table1[[#This Row],[l]])*(Table1[[#This Row],[Load(p)]]*Table1[[#This Row],[c]]))/Table1[[#This Row],[l]]</f>
        <v>-2700</v>
      </c>
      <c r="H18" s="6">
        <f>(((2*Table1[[#This Row],[x]])-Table1[[#This Row],[l]])*(Table1[[#This Row],[Load(p)]]))/Table1[[#This Row],[l]]</f>
        <v>-200</v>
      </c>
      <c r="I18" s="6">
        <f>(Table1[[#This Row],[Load(p)]]*(Table1[[#This Row],[l]]-Table1[[#This Row],[x]]))/Table1[[#This Row],[l]]</f>
        <v>600</v>
      </c>
      <c r="J18" s="6">
        <f>(Table1[[#This Row],[Load(p)]]*Table1[[#This Row],[x]])/Table1[[#This Row],[l]]</f>
        <v>400</v>
      </c>
      <c r="K18" s="6">
        <f>Table1[[#This Row],[BM]]/Table1[[#This Row],[Z]]</f>
        <v>-1.44E-2</v>
      </c>
      <c r="L18" s="6">
        <f>Table1[[#This Row],[SF]]/Table1[[#This Row],[bd]]</f>
        <v>-2.6666666666666668E-2</v>
      </c>
      <c r="M18" s="8">
        <f t="shared" si="4"/>
        <v>-0.13979706570401032</v>
      </c>
      <c r="N18" s="8">
        <f>(Table1[[#This Row],[Shear Stress]])*SQRT(PI()*Table1[[#This Row],[a]])</f>
        <v>-0.25888345500742654</v>
      </c>
      <c r="O18" s="8">
        <f t="shared" si="5"/>
        <v>0.31521162548087311</v>
      </c>
      <c r="P18" s="6">
        <v>50</v>
      </c>
      <c r="Q18" s="6">
        <v>150</v>
      </c>
      <c r="R18" s="6">
        <f>(Table1[[#This Row],[b]]*(Table1[[#This Row],[d]]^2))/6</f>
        <v>187500</v>
      </c>
      <c r="S18" s="6">
        <f>Table1[[#This Row],[b]]*Table1[[#This Row],[d]]</f>
        <v>7500</v>
      </c>
      <c r="T18" s="6">
        <v>1000</v>
      </c>
    </row>
    <row r="19" spans="1:20" x14ac:dyDescent="0.25">
      <c r="A19" s="6">
        <v>500</v>
      </c>
      <c r="B19" s="6">
        <v>200</v>
      </c>
      <c r="C19" s="6">
        <v>14</v>
      </c>
      <c r="D19" s="6">
        <v>30</v>
      </c>
      <c r="E19" s="6">
        <f>(Table1[[#This Row],[Load(p)]]*Table1[[#This Row],[x]])/Table1[[#This Row],[l]]</f>
        <v>400</v>
      </c>
      <c r="F19" s="6">
        <f>(Table1[[#This Row],[Load(p)]]*(Table1[[#This Row],[l]]-Table1[[#This Row],[x]])/Table1[[#This Row],[l]])</f>
        <v>600</v>
      </c>
      <c r="G19" s="6">
        <f>(((2*Table1[[#This Row],[x]])-Table1[[#This Row],[l]])*(Table1[[#This Row],[Load(p)]]*Table1[[#This Row],[c]]))/Table1[[#This Row],[l]]</f>
        <v>-2800</v>
      </c>
      <c r="H19" s="6">
        <f>(((2*Table1[[#This Row],[x]])-Table1[[#This Row],[l]])*(Table1[[#This Row],[Load(p)]]))/Table1[[#This Row],[l]]</f>
        <v>-200</v>
      </c>
      <c r="I19" s="6">
        <f>(Table1[[#This Row],[Load(p)]]*(Table1[[#This Row],[l]]-Table1[[#This Row],[x]]))/Table1[[#This Row],[l]]</f>
        <v>600</v>
      </c>
      <c r="J19" s="6">
        <f>(Table1[[#This Row],[Load(p)]]*Table1[[#This Row],[x]])/Table1[[#This Row],[l]]</f>
        <v>400</v>
      </c>
      <c r="K19" s="6">
        <f>Table1[[#This Row],[BM]]/Table1[[#This Row],[Z]]</f>
        <v>-1.4933333333333333E-2</v>
      </c>
      <c r="L19" s="6">
        <f>Table1[[#This Row],[SF]]/Table1[[#This Row],[bd]]</f>
        <v>-2.6666666666666668E-2</v>
      </c>
      <c r="M19" s="8">
        <f t="shared" si="4"/>
        <v>-0.14497473480415887</v>
      </c>
      <c r="N19" s="8">
        <f>(Table1[[#This Row],[Shear Stress]])*SQRT(PI()*Table1[[#This Row],[a]])</f>
        <v>-0.25888345500742654</v>
      </c>
      <c r="O19" s="8">
        <f t="shared" si="5"/>
        <v>0.32498695929496646</v>
      </c>
      <c r="P19" s="6">
        <v>50</v>
      </c>
      <c r="Q19" s="6">
        <v>150</v>
      </c>
      <c r="R19" s="6">
        <f>(Table1[[#This Row],[b]]*(Table1[[#This Row],[d]]^2))/6</f>
        <v>187500</v>
      </c>
      <c r="S19" s="6">
        <f>Table1[[#This Row],[b]]*Table1[[#This Row],[d]]</f>
        <v>7500</v>
      </c>
      <c r="T19" s="6">
        <v>1000</v>
      </c>
    </row>
    <row r="20" spans="1:20" x14ac:dyDescent="0.25">
      <c r="A20" s="6">
        <v>500</v>
      </c>
      <c r="B20" s="6">
        <v>200</v>
      </c>
      <c r="C20" s="6">
        <v>14.5</v>
      </c>
      <c r="D20" s="6">
        <v>30</v>
      </c>
      <c r="E20" s="6">
        <f>(Table1[[#This Row],[Load(p)]]*Table1[[#This Row],[x]])/Table1[[#This Row],[l]]</f>
        <v>400</v>
      </c>
      <c r="F20" s="6">
        <f>(Table1[[#This Row],[Load(p)]]*(Table1[[#This Row],[l]]-Table1[[#This Row],[x]])/Table1[[#This Row],[l]])</f>
        <v>600</v>
      </c>
      <c r="G20" s="6">
        <f>(((2*Table1[[#This Row],[x]])-Table1[[#This Row],[l]])*(Table1[[#This Row],[Load(p)]]*Table1[[#This Row],[c]]))/Table1[[#This Row],[l]]</f>
        <v>-2900</v>
      </c>
      <c r="H20" s="6">
        <f>(((2*Table1[[#This Row],[x]])-Table1[[#This Row],[l]])*(Table1[[#This Row],[Load(p)]]))/Table1[[#This Row],[l]]</f>
        <v>-200</v>
      </c>
      <c r="I20" s="6">
        <f>(Table1[[#This Row],[Load(p)]]*(Table1[[#This Row],[l]]-Table1[[#This Row],[x]]))/Table1[[#This Row],[l]]</f>
        <v>600</v>
      </c>
      <c r="J20" s="6">
        <f>(Table1[[#This Row],[Load(p)]]*Table1[[#This Row],[x]])/Table1[[#This Row],[l]]</f>
        <v>400</v>
      </c>
      <c r="K20" s="6">
        <f>Table1[[#This Row],[BM]]/Table1[[#This Row],[Z]]</f>
        <v>-1.5466666666666667E-2</v>
      </c>
      <c r="L20" s="6">
        <f>Table1[[#This Row],[SF]]/Table1[[#This Row],[bd]]</f>
        <v>-2.6666666666666668E-2</v>
      </c>
      <c r="M20" s="8">
        <f t="shared" si="4"/>
        <v>-0.1501524039043074</v>
      </c>
      <c r="N20" s="8">
        <f>(Table1[[#This Row],[Shear Stress]])*SQRT(PI()*Table1[[#This Row],[a]])</f>
        <v>-0.25888345500742654</v>
      </c>
      <c r="O20" s="8">
        <f t="shared" si="5"/>
        <v>0.33459703501091598</v>
      </c>
      <c r="P20" s="6">
        <v>50</v>
      </c>
      <c r="Q20" s="6">
        <v>150</v>
      </c>
      <c r="R20" s="6">
        <f>(Table1[[#This Row],[b]]*(Table1[[#This Row],[d]]^2))/6</f>
        <v>187500</v>
      </c>
      <c r="S20" s="6">
        <f>Table1[[#This Row],[b]]*Table1[[#This Row],[d]]</f>
        <v>7500</v>
      </c>
      <c r="T20" s="6">
        <v>1000</v>
      </c>
    </row>
    <row r="21" spans="1:20" x14ac:dyDescent="0.25">
      <c r="A21" s="6">
        <v>500</v>
      </c>
      <c r="B21" s="6">
        <v>200</v>
      </c>
      <c r="C21" s="6">
        <v>15</v>
      </c>
      <c r="D21" s="6">
        <v>30</v>
      </c>
      <c r="E21" s="6">
        <f>(Table1[[#This Row],[Load(p)]]*Table1[[#This Row],[x]])/Table1[[#This Row],[l]]</f>
        <v>400</v>
      </c>
      <c r="F21" s="6">
        <f>(Table1[[#This Row],[Load(p)]]*(Table1[[#This Row],[l]]-Table1[[#This Row],[x]])/Table1[[#This Row],[l]])</f>
        <v>600</v>
      </c>
      <c r="G21" s="6">
        <f>(((2*Table1[[#This Row],[x]])-Table1[[#This Row],[l]])*(Table1[[#This Row],[Load(p)]]*Table1[[#This Row],[c]]))/Table1[[#This Row],[l]]</f>
        <v>-3000</v>
      </c>
      <c r="H21" s="6">
        <f>(((2*Table1[[#This Row],[x]])-Table1[[#This Row],[l]])*(Table1[[#This Row],[Load(p)]]))/Table1[[#This Row],[l]]</f>
        <v>-200</v>
      </c>
      <c r="I21" s="6">
        <f>(Table1[[#This Row],[Load(p)]]*(Table1[[#This Row],[l]]-Table1[[#This Row],[x]]))/Table1[[#This Row],[l]]</f>
        <v>600</v>
      </c>
      <c r="J21" s="6">
        <f>(Table1[[#This Row],[Load(p)]]*Table1[[#This Row],[x]])/Table1[[#This Row],[l]]</f>
        <v>400</v>
      </c>
      <c r="K21" s="6">
        <f>Table1[[#This Row],[BM]]/Table1[[#This Row],[Z]]</f>
        <v>-1.6E-2</v>
      </c>
      <c r="L21" s="6">
        <f>Table1[[#This Row],[SF]]/Table1[[#This Row],[bd]]</f>
        <v>-2.6666666666666668E-2</v>
      </c>
      <c r="M21" s="8">
        <f t="shared" ref="M21:M58" si="6">(K21)*SQRT(PI()*D21)</f>
        <v>-0.15533007300445592</v>
      </c>
      <c r="N21" s="8">
        <f>(Table1[[#This Row],[Shear Stress]])*SQRT(PI()*Table1[[#This Row],[a]])</f>
        <v>-0.25888345500742654</v>
      </c>
      <c r="O21" s="8">
        <f t="shared" ref="O21:O58" si="7">(2/PI())*(ATAN((M21/N21)))</f>
        <v>0.34404173924526138</v>
      </c>
      <c r="P21" s="6">
        <v>50</v>
      </c>
      <c r="Q21" s="6">
        <v>150</v>
      </c>
      <c r="R21" s="6">
        <f>(Table1[[#This Row],[b]]*(Table1[[#This Row],[d]]^2))/6</f>
        <v>187500</v>
      </c>
      <c r="S21" s="6">
        <f>Table1[[#This Row],[b]]*Table1[[#This Row],[d]]</f>
        <v>7500</v>
      </c>
      <c r="T21" s="6">
        <v>1000</v>
      </c>
    </row>
    <row r="22" spans="1:20" x14ac:dyDescent="0.25">
      <c r="A22" s="6">
        <v>500</v>
      </c>
      <c r="B22" s="6">
        <v>200</v>
      </c>
      <c r="C22" s="6">
        <v>15.5</v>
      </c>
      <c r="D22" s="6">
        <v>30</v>
      </c>
      <c r="E22" s="6">
        <f>(Table1[[#This Row],[Load(p)]]*Table1[[#This Row],[x]])/Table1[[#This Row],[l]]</f>
        <v>400</v>
      </c>
      <c r="F22" s="6">
        <f>(Table1[[#This Row],[Load(p)]]*(Table1[[#This Row],[l]]-Table1[[#This Row],[x]])/Table1[[#This Row],[l]])</f>
        <v>600</v>
      </c>
      <c r="G22" s="6">
        <f>(((2*Table1[[#This Row],[x]])-Table1[[#This Row],[l]])*(Table1[[#This Row],[Load(p)]]*Table1[[#This Row],[c]]))/Table1[[#This Row],[l]]</f>
        <v>-3100</v>
      </c>
      <c r="H22" s="6">
        <f>(((2*Table1[[#This Row],[x]])-Table1[[#This Row],[l]])*(Table1[[#This Row],[Load(p)]]))/Table1[[#This Row],[l]]</f>
        <v>-200</v>
      </c>
      <c r="I22" s="6">
        <f>(Table1[[#This Row],[Load(p)]]*(Table1[[#This Row],[l]]-Table1[[#This Row],[x]]))/Table1[[#This Row],[l]]</f>
        <v>600</v>
      </c>
      <c r="J22" s="6">
        <f>(Table1[[#This Row],[Load(p)]]*Table1[[#This Row],[x]])/Table1[[#This Row],[l]]</f>
        <v>400</v>
      </c>
      <c r="K22" s="6">
        <f>Table1[[#This Row],[BM]]/Table1[[#This Row],[Z]]</f>
        <v>-1.6533333333333334E-2</v>
      </c>
      <c r="L22" s="6">
        <f>Table1[[#This Row],[SF]]/Table1[[#This Row],[bd]]</f>
        <v>-2.6666666666666668E-2</v>
      </c>
      <c r="M22" s="8">
        <f t="shared" si="6"/>
        <v>-0.16050774210460447</v>
      </c>
      <c r="N22" s="8">
        <f>(Table1[[#This Row],[Shear Stress]])*SQRT(PI()*Table1[[#This Row],[a]])</f>
        <v>-0.25888345500742654</v>
      </c>
      <c r="O22" s="8">
        <f t="shared" si="7"/>
        <v>0.35332125360327138</v>
      </c>
      <c r="P22" s="6">
        <v>50</v>
      </c>
      <c r="Q22" s="6">
        <v>150</v>
      </c>
      <c r="R22" s="6">
        <f>(Table1[[#This Row],[b]]*(Table1[[#This Row],[d]]^2))/6</f>
        <v>187500</v>
      </c>
      <c r="S22" s="6">
        <f>Table1[[#This Row],[b]]*Table1[[#This Row],[d]]</f>
        <v>7500</v>
      </c>
      <c r="T22" s="6">
        <v>1000</v>
      </c>
    </row>
    <row r="23" spans="1:20" x14ac:dyDescent="0.25">
      <c r="A23" s="6">
        <v>500</v>
      </c>
      <c r="B23" s="6">
        <v>200</v>
      </c>
      <c r="C23" s="6">
        <v>16</v>
      </c>
      <c r="D23" s="6">
        <v>30</v>
      </c>
      <c r="E23" s="6">
        <f>(Table1[[#This Row],[Load(p)]]*Table1[[#This Row],[x]])/Table1[[#This Row],[l]]</f>
        <v>400</v>
      </c>
      <c r="F23" s="6">
        <f>(Table1[[#This Row],[Load(p)]]*(Table1[[#This Row],[l]]-Table1[[#This Row],[x]])/Table1[[#This Row],[l]])</f>
        <v>600</v>
      </c>
      <c r="G23" s="6">
        <f>(((2*Table1[[#This Row],[x]])-Table1[[#This Row],[l]])*(Table1[[#This Row],[Load(p)]]*Table1[[#This Row],[c]]))/Table1[[#This Row],[l]]</f>
        <v>-3200</v>
      </c>
      <c r="H23" s="6">
        <f>(((2*Table1[[#This Row],[x]])-Table1[[#This Row],[l]])*(Table1[[#This Row],[Load(p)]]))/Table1[[#This Row],[l]]</f>
        <v>-200</v>
      </c>
      <c r="I23" s="6">
        <f>(Table1[[#This Row],[Load(p)]]*(Table1[[#This Row],[l]]-Table1[[#This Row],[x]]))/Table1[[#This Row],[l]]</f>
        <v>600</v>
      </c>
      <c r="J23" s="6">
        <f>(Table1[[#This Row],[Load(p)]]*Table1[[#This Row],[x]])/Table1[[#This Row],[l]]</f>
        <v>400</v>
      </c>
      <c r="K23" s="6">
        <f>Table1[[#This Row],[BM]]/Table1[[#This Row],[Z]]</f>
        <v>-1.7066666666666667E-2</v>
      </c>
      <c r="L23" s="6">
        <f>Table1[[#This Row],[SF]]/Table1[[#This Row],[bd]]</f>
        <v>-2.6666666666666668E-2</v>
      </c>
      <c r="M23" s="8">
        <f t="shared" si="6"/>
        <v>-0.165685411204753</v>
      </c>
      <c r="N23" s="8">
        <f>(Table1[[#This Row],[Shear Stress]])*SQRT(PI()*Table1[[#This Row],[a]])</f>
        <v>-0.25888345500742654</v>
      </c>
      <c r="O23" s="8">
        <f t="shared" si="7"/>
        <v>0.36243603412436476</v>
      </c>
      <c r="P23" s="6">
        <v>50</v>
      </c>
      <c r="Q23" s="6">
        <v>150</v>
      </c>
      <c r="R23" s="6">
        <f>(Table1[[#This Row],[b]]*(Table1[[#This Row],[d]]^2))/6</f>
        <v>187500</v>
      </c>
      <c r="S23" s="6">
        <f>Table1[[#This Row],[b]]*Table1[[#This Row],[d]]</f>
        <v>7500</v>
      </c>
      <c r="T23" s="6">
        <v>1000</v>
      </c>
    </row>
    <row r="24" spans="1:20" x14ac:dyDescent="0.25">
      <c r="A24" s="6">
        <v>500</v>
      </c>
      <c r="B24" s="6">
        <v>200</v>
      </c>
      <c r="C24" s="6">
        <v>16.5</v>
      </c>
      <c r="D24" s="6">
        <v>30</v>
      </c>
      <c r="E24" s="6">
        <f>(Table1[[#This Row],[Load(p)]]*Table1[[#This Row],[x]])/Table1[[#This Row],[l]]</f>
        <v>400</v>
      </c>
      <c r="F24" s="6">
        <f>(Table1[[#This Row],[Load(p)]]*(Table1[[#This Row],[l]]-Table1[[#This Row],[x]])/Table1[[#This Row],[l]])</f>
        <v>600</v>
      </c>
      <c r="G24" s="6">
        <f>(((2*Table1[[#This Row],[x]])-Table1[[#This Row],[l]])*(Table1[[#This Row],[Load(p)]]*Table1[[#This Row],[c]]))/Table1[[#This Row],[l]]</f>
        <v>-3300</v>
      </c>
      <c r="H24" s="6">
        <f>(((2*Table1[[#This Row],[x]])-Table1[[#This Row],[l]])*(Table1[[#This Row],[Load(p)]]))/Table1[[#This Row],[l]]</f>
        <v>-200</v>
      </c>
      <c r="I24" s="6">
        <f>(Table1[[#This Row],[Load(p)]]*(Table1[[#This Row],[l]]-Table1[[#This Row],[x]]))/Table1[[#This Row],[l]]</f>
        <v>600</v>
      </c>
      <c r="J24" s="6">
        <f>(Table1[[#This Row],[Load(p)]]*Table1[[#This Row],[x]])/Table1[[#This Row],[l]]</f>
        <v>400</v>
      </c>
      <c r="K24" s="6">
        <f>Table1[[#This Row],[BM]]/Table1[[#This Row],[Z]]</f>
        <v>-1.7600000000000001E-2</v>
      </c>
      <c r="L24" s="6">
        <f>Table1[[#This Row],[SF]]/Table1[[#This Row],[bd]]</f>
        <v>-2.6666666666666668E-2</v>
      </c>
      <c r="M24" s="8">
        <f t="shared" si="6"/>
        <v>-0.17086308030490152</v>
      </c>
      <c r="N24" s="8">
        <f>(Table1[[#This Row],[Shear Stress]])*SQRT(PI()*Table1[[#This Row],[a]])</f>
        <v>-0.25888345500742654</v>
      </c>
      <c r="O24" s="8">
        <f t="shared" si="7"/>
        <v>0.37138679091782006</v>
      </c>
      <c r="P24" s="6">
        <v>50</v>
      </c>
      <c r="Q24" s="6">
        <v>150</v>
      </c>
      <c r="R24" s="6">
        <f>(Table1[[#This Row],[b]]*(Table1[[#This Row],[d]]^2))/6</f>
        <v>187500</v>
      </c>
      <c r="S24" s="6">
        <f>Table1[[#This Row],[b]]*Table1[[#This Row],[d]]</f>
        <v>7500</v>
      </c>
      <c r="T24" s="6">
        <v>1000</v>
      </c>
    </row>
    <row r="25" spans="1:20" x14ac:dyDescent="0.25">
      <c r="A25" s="6">
        <v>500</v>
      </c>
      <c r="B25" s="6">
        <v>200</v>
      </c>
      <c r="C25" s="6">
        <v>17</v>
      </c>
      <c r="D25" s="6">
        <v>30</v>
      </c>
      <c r="E25" s="6">
        <f>(Table1[[#This Row],[Load(p)]]*Table1[[#This Row],[x]])/Table1[[#This Row],[l]]</f>
        <v>400</v>
      </c>
      <c r="F25" s="6">
        <f>(Table1[[#This Row],[Load(p)]]*(Table1[[#This Row],[l]]-Table1[[#This Row],[x]])/Table1[[#This Row],[l]])</f>
        <v>600</v>
      </c>
      <c r="G25" s="6">
        <f>(((2*Table1[[#This Row],[x]])-Table1[[#This Row],[l]])*(Table1[[#This Row],[Load(p)]]*Table1[[#This Row],[c]]))/Table1[[#This Row],[l]]</f>
        <v>-3400</v>
      </c>
      <c r="H25" s="6">
        <f>(((2*Table1[[#This Row],[x]])-Table1[[#This Row],[l]])*(Table1[[#This Row],[Load(p)]]))/Table1[[#This Row],[l]]</f>
        <v>-200</v>
      </c>
      <c r="I25" s="6">
        <f>(Table1[[#This Row],[Load(p)]]*(Table1[[#This Row],[l]]-Table1[[#This Row],[x]]))/Table1[[#This Row],[l]]</f>
        <v>600</v>
      </c>
      <c r="J25" s="6">
        <f>(Table1[[#This Row],[Load(p)]]*Table1[[#This Row],[x]])/Table1[[#This Row],[l]]</f>
        <v>400</v>
      </c>
      <c r="K25" s="6">
        <f>Table1[[#This Row],[BM]]/Table1[[#This Row],[Z]]</f>
        <v>-1.8133333333333335E-2</v>
      </c>
      <c r="L25" s="6">
        <f>Table1[[#This Row],[SF]]/Table1[[#This Row],[bd]]</f>
        <v>-2.6666666666666668E-2</v>
      </c>
      <c r="M25" s="8">
        <f t="shared" si="6"/>
        <v>-0.17604074940505007</v>
      </c>
      <c r="N25" s="8">
        <f>(Table1[[#This Row],[Shear Stress]])*SQRT(PI()*Table1[[#This Row],[a]])</f>
        <v>-0.25888345500742654</v>
      </c>
      <c r="O25" s="8">
        <f t="shared" si="7"/>
        <v>0.38017446813819339</v>
      </c>
      <c r="P25" s="6">
        <v>50</v>
      </c>
      <c r="Q25" s="6">
        <v>150</v>
      </c>
      <c r="R25" s="6">
        <f>(Table1[[#This Row],[b]]*(Table1[[#This Row],[d]]^2))/6</f>
        <v>187500</v>
      </c>
      <c r="S25" s="6">
        <f>Table1[[#This Row],[b]]*Table1[[#This Row],[d]]</f>
        <v>7500</v>
      </c>
      <c r="T25" s="6">
        <v>1000</v>
      </c>
    </row>
    <row r="26" spans="1:20" x14ac:dyDescent="0.25">
      <c r="A26" s="6">
        <v>500</v>
      </c>
      <c r="B26" s="6">
        <v>200</v>
      </c>
      <c r="C26" s="6">
        <v>17.5</v>
      </c>
      <c r="D26" s="6">
        <v>30</v>
      </c>
      <c r="E26" s="6">
        <f>(Table1[[#This Row],[Load(p)]]*Table1[[#This Row],[x]])/Table1[[#This Row],[l]]</f>
        <v>400</v>
      </c>
      <c r="F26" s="6">
        <f>(Table1[[#This Row],[Load(p)]]*(Table1[[#This Row],[l]]-Table1[[#This Row],[x]])/Table1[[#This Row],[l]])</f>
        <v>600</v>
      </c>
      <c r="G26" s="6">
        <f>(((2*Table1[[#This Row],[x]])-Table1[[#This Row],[l]])*(Table1[[#This Row],[Load(p)]]*Table1[[#This Row],[c]]))/Table1[[#This Row],[l]]</f>
        <v>-3500</v>
      </c>
      <c r="H26" s="6">
        <f>(((2*Table1[[#This Row],[x]])-Table1[[#This Row],[l]])*(Table1[[#This Row],[Load(p)]]))/Table1[[#This Row],[l]]</f>
        <v>-200</v>
      </c>
      <c r="I26" s="6">
        <f>(Table1[[#This Row],[Load(p)]]*(Table1[[#This Row],[l]]-Table1[[#This Row],[x]]))/Table1[[#This Row],[l]]</f>
        <v>600</v>
      </c>
      <c r="J26" s="6">
        <f>(Table1[[#This Row],[Load(p)]]*Table1[[#This Row],[x]])/Table1[[#This Row],[l]]</f>
        <v>400</v>
      </c>
      <c r="K26" s="6">
        <f>Table1[[#This Row],[BM]]/Table1[[#This Row],[Z]]</f>
        <v>-1.8666666666666668E-2</v>
      </c>
      <c r="L26" s="6">
        <f>Table1[[#This Row],[SF]]/Table1[[#This Row],[bd]]</f>
        <v>-2.6666666666666668E-2</v>
      </c>
      <c r="M26" s="8">
        <f t="shared" si="6"/>
        <v>-0.1812184185051986</v>
      </c>
      <c r="N26" s="8">
        <f>(Table1[[#This Row],[Shear Stress]])*SQRT(PI()*Table1[[#This Row],[a]])</f>
        <v>-0.25888345500742654</v>
      </c>
      <c r="O26" s="8">
        <f t="shared" si="7"/>
        <v>0.38880022442842965</v>
      </c>
      <c r="P26" s="6">
        <v>50</v>
      </c>
      <c r="Q26" s="6">
        <v>150</v>
      </c>
      <c r="R26" s="6">
        <f>(Table1[[#This Row],[b]]*(Table1[[#This Row],[d]]^2))/6</f>
        <v>187500</v>
      </c>
      <c r="S26" s="6">
        <f>Table1[[#This Row],[b]]*Table1[[#This Row],[d]]</f>
        <v>7500</v>
      </c>
      <c r="T26" s="6">
        <v>1000</v>
      </c>
    </row>
    <row r="27" spans="1:20" x14ac:dyDescent="0.25">
      <c r="A27" s="6">
        <v>500</v>
      </c>
      <c r="B27" s="6">
        <v>200</v>
      </c>
      <c r="C27" s="6">
        <v>18</v>
      </c>
      <c r="D27" s="6">
        <v>30</v>
      </c>
      <c r="E27" s="6">
        <f>(Table1[[#This Row],[Load(p)]]*Table1[[#This Row],[x]])/Table1[[#This Row],[l]]</f>
        <v>400</v>
      </c>
      <c r="F27" s="6">
        <f>(Table1[[#This Row],[Load(p)]]*(Table1[[#This Row],[l]]-Table1[[#This Row],[x]])/Table1[[#This Row],[l]])</f>
        <v>600</v>
      </c>
      <c r="G27" s="6">
        <f>(((2*Table1[[#This Row],[x]])-Table1[[#This Row],[l]])*(Table1[[#This Row],[Load(p)]]*Table1[[#This Row],[c]]))/Table1[[#This Row],[l]]</f>
        <v>-3600</v>
      </c>
      <c r="H27" s="6">
        <f>(((2*Table1[[#This Row],[x]])-Table1[[#This Row],[l]])*(Table1[[#This Row],[Load(p)]]))/Table1[[#This Row],[l]]</f>
        <v>-200</v>
      </c>
      <c r="I27" s="6">
        <f>(Table1[[#This Row],[Load(p)]]*(Table1[[#This Row],[l]]-Table1[[#This Row],[x]]))/Table1[[#This Row],[l]]</f>
        <v>600</v>
      </c>
      <c r="J27" s="6">
        <f>(Table1[[#This Row],[Load(p)]]*Table1[[#This Row],[x]])/Table1[[#This Row],[l]]</f>
        <v>400</v>
      </c>
      <c r="K27" s="6">
        <f>Table1[[#This Row],[BM]]/Table1[[#This Row],[Z]]</f>
        <v>-1.9199999999999998E-2</v>
      </c>
      <c r="L27" s="6">
        <f>Table1[[#This Row],[SF]]/Table1[[#This Row],[bd]]</f>
        <v>-2.6666666666666668E-2</v>
      </c>
      <c r="M27" s="8">
        <f t="shared" si="6"/>
        <v>-0.18639608760534709</v>
      </c>
      <c r="N27" s="8">
        <f>(Table1[[#This Row],[Shear Stress]])*SQRT(PI()*Table1[[#This Row],[a]])</f>
        <v>-0.25888345500742654</v>
      </c>
      <c r="O27" s="8">
        <f t="shared" si="7"/>
        <v>0.39726541393818615</v>
      </c>
      <c r="P27" s="6">
        <v>50</v>
      </c>
      <c r="Q27" s="6">
        <v>150</v>
      </c>
      <c r="R27" s="6">
        <f>(Table1[[#This Row],[b]]*(Table1[[#This Row],[d]]^2))/6</f>
        <v>187500</v>
      </c>
      <c r="S27" s="6">
        <f>Table1[[#This Row],[b]]*Table1[[#This Row],[d]]</f>
        <v>7500</v>
      </c>
      <c r="T27" s="6">
        <v>1000</v>
      </c>
    </row>
    <row r="28" spans="1:20" x14ac:dyDescent="0.25">
      <c r="A28" s="6">
        <v>500</v>
      </c>
      <c r="B28" s="6">
        <v>200</v>
      </c>
      <c r="C28" s="6">
        <v>18.5</v>
      </c>
      <c r="D28" s="6">
        <v>30</v>
      </c>
      <c r="E28" s="6">
        <f>(Table1[[#This Row],[Load(p)]]*Table1[[#This Row],[x]])/Table1[[#This Row],[l]]</f>
        <v>400</v>
      </c>
      <c r="F28" s="6">
        <f>(Table1[[#This Row],[Load(p)]]*(Table1[[#This Row],[l]]-Table1[[#This Row],[x]])/Table1[[#This Row],[l]])</f>
        <v>600</v>
      </c>
      <c r="G28" s="6">
        <f>(((2*Table1[[#This Row],[x]])-Table1[[#This Row],[l]])*(Table1[[#This Row],[Load(p)]]*Table1[[#This Row],[c]]))/Table1[[#This Row],[l]]</f>
        <v>-3700</v>
      </c>
      <c r="H28" s="6">
        <f>(((2*Table1[[#This Row],[x]])-Table1[[#This Row],[l]])*(Table1[[#This Row],[Load(p)]]))/Table1[[#This Row],[l]]</f>
        <v>-200</v>
      </c>
      <c r="I28" s="6">
        <f>(Table1[[#This Row],[Load(p)]]*(Table1[[#This Row],[l]]-Table1[[#This Row],[x]]))/Table1[[#This Row],[l]]</f>
        <v>600</v>
      </c>
      <c r="J28" s="6">
        <f>(Table1[[#This Row],[Load(p)]]*Table1[[#This Row],[x]])/Table1[[#This Row],[l]]</f>
        <v>400</v>
      </c>
      <c r="K28" s="6">
        <f>Table1[[#This Row],[BM]]/Table1[[#This Row],[Z]]</f>
        <v>-1.9733333333333332E-2</v>
      </c>
      <c r="L28" s="6">
        <f>Table1[[#This Row],[SF]]/Table1[[#This Row],[bd]]</f>
        <v>-2.6666666666666668E-2</v>
      </c>
      <c r="M28" s="8">
        <f t="shared" si="6"/>
        <v>-0.19157375670549562</v>
      </c>
      <c r="N28" s="8">
        <f>(Table1[[#This Row],[Shear Stress]])*SQRT(PI()*Table1[[#This Row],[a]])</f>
        <v>-0.25888345500742654</v>
      </c>
      <c r="O28" s="8">
        <f t="shared" si="7"/>
        <v>0.40557156800562577</v>
      </c>
      <c r="P28" s="6">
        <v>50</v>
      </c>
      <c r="Q28" s="6">
        <v>150</v>
      </c>
      <c r="R28" s="6">
        <f>(Table1[[#This Row],[b]]*(Table1[[#This Row],[d]]^2))/6</f>
        <v>187500</v>
      </c>
      <c r="S28" s="6">
        <f>Table1[[#This Row],[b]]*Table1[[#This Row],[d]]</f>
        <v>7500</v>
      </c>
      <c r="T28" s="6">
        <v>1000</v>
      </c>
    </row>
    <row r="29" spans="1:20" x14ac:dyDescent="0.25">
      <c r="A29" s="6">
        <v>500</v>
      </c>
      <c r="B29" s="6">
        <v>200</v>
      </c>
      <c r="C29" s="6">
        <v>19</v>
      </c>
      <c r="D29" s="6">
        <v>30</v>
      </c>
      <c r="E29" s="6">
        <f>(Table1[[#This Row],[Load(p)]]*Table1[[#This Row],[x]])/Table1[[#This Row],[l]]</f>
        <v>400</v>
      </c>
      <c r="F29" s="6">
        <f>(Table1[[#This Row],[Load(p)]]*(Table1[[#This Row],[l]]-Table1[[#This Row],[x]])/Table1[[#This Row],[l]])</f>
        <v>600</v>
      </c>
      <c r="G29" s="6">
        <f>(((2*Table1[[#This Row],[x]])-Table1[[#This Row],[l]])*(Table1[[#This Row],[Load(p)]]*Table1[[#This Row],[c]]))/Table1[[#This Row],[l]]</f>
        <v>-3800</v>
      </c>
      <c r="H29" s="6">
        <f>(((2*Table1[[#This Row],[x]])-Table1[[#This Row],[l]])*(Table1[[#This Row],[Load(p)]]))/Table1[[#This Row],[l]]</f>
        <v>-200</v>
      </c>
      <c r="I29" s="6">
        <f>(Table1[[#This Row],[Load(p)]]*(Table1[[#This Row],[l]]-Table1[[#This Row],[x]]))/Table1[[#This Row],[l]]</f>
        <v>600</v>
      </c>
      <c r="J29" s="6">
        <f>(Table1[[#This Row],[Load(p)]]*Table1[[#This Row],[x]])/Table1[[#This Row],[l]]</f>
        <v>400</v>
      </c>
      <c r="K29" s="6">
        <f>Table1[[#This Row],[BM]]/Table1[[#This Row],[Z]]</f>
        <v>-2.0266666666666665E-2</v>
      </c>
      <c r="L29" s="6">
        <f>Table1[[#This Row],[SF]]/Table1[[#This Row],[bd]]</f>
        <v>-2.6666666666666668E-2</v>
      </c>
      <c r="M29" s="8">
        <f t="shared" si="6"/>
        <v>-0.19675142580564417</v>
      </c>
      <c r="N29" s="8">
        <f>(Table1[[#This Row],[Shear Stress]])*SQRT(PI()*Table1[[#This Row],[a]])</f>
        <v>-0.25888345500742654</v>
      </c>
      <c r="O29" s="8">
        <f t="shared" si="7"/>
        <v>0.41372037757305191</v>
      </c>
      <c r="P29" s="6">
        <v>50</v>
      </c>
      <c r="Q29" s="6">
        <v>150</v>
      </c>
      <c r="R29" s="6">
        <f>(Table1[[#This Row],[b]]*(Table1[[#This Row],[d]]^2))/6</f>
        <v>187500</v>
      </c>
      <c r="S29" s="6">
        <f>Table1[[#This Row],[b]]*Table1[[#This Row],[d]]</f>
        <v>7500</v>
      </c>
      <c r="T29" s="6">
        <v>1000</v>
      </c>
    </row>
    <row r="30" spans="1:20" x14ac:dyDescent="0.25">
      <c r="A30" s="6">
        <v>500</v>
      </c>
      <c r="B30" s="6">
        <v>200</v>
      </c>
      <c r="C30" s="6">
        <v>19.5</v>
      </c>
      <c r="D30" s="6">
        <v>30</v>
      </c>
      <c r="E30" s="6">
        <f>(Table1[[#This Row],[Load(p)]]*Table1[[#This Row],[x]])/Table1[[#This Row],[l]]</f>
        <v>400</v>
      </c>
      <c r="F30" s="6">
        <f>(Table1[[#This Row],[Load(p)]]*(Table1[[#This Row],[l]]-Table1[[#This Row],[x]])/Table1[[#This Row],[l]])</f>
        <v>600</v>
      </c>
      <c r="G30" s="6">
        <f>(((2*Table1[[#This Row],[x]])-Table1[[#This Row],[l]])*(Table1[[#This Row],[Load(p)]]*Table1[[#This Row],[c]]))/Table1[[#This Row],[l]]</f>
        <v>-3900</v>
      </c>
      <c r="H30" s="6">
        <f>(((2*Table1[[#This Row],[x]])-Table1[[#This Row],[l]])*(Table1[[#This Row],[Load(p)]]))/Table1[[#This Row],[l]]</f>
        <v>-200</v>
      </c>
      <c r="I30" s="6">
        <f>(Table1[[#This Row],[Load(p)]]*(Table1[[#This Row],[l]]-Table1[[#This Row],[x]]))/Table1[[#This Row],[l]]</f>
        <v>600</v>
      </c>
      <c r="J30" s="6">
        <f>(Table1[[#This Row],[Load(p)]]*Table1[[#This Row],[x]])/Table1[[#This Row],[l]]</f>
        <v>400</v>
      </c>
      <c r="K30" s="6">
        <f>Table1[[#This Row],[BM]]/Table1[[#This Row],[Z]]</f>
        <v>-2.0799999999999999E-2</v>
      </c>
      <c r="L30" s="6">
        <f>Table1[[#This Row],[SF]]/Table1[[#This Row],[bd]]</f>
        <v>-2.6666666666666668E-2</v>
      </c>
      <c r="M30" s="8">
        <f t="shared" si="6"/>
        <v>-0.20192909490579269</v>
      </c>
      <c r="N30" s="8">
        <f>(Table1[[#This Row],[Shear Stress]])*SQRT(PI()*Table1[[#This Row],[a]])</f>
        <v>-0.25888345500742654</v>
      </c>
      <c r="O30" s="8">
        <f t="shared" si="7"/>
        <v>0.42171367639036123</v>
      </c>
      <c r="P30" s="6">
        <v>50</v>
      </c>
      <c r="Q30" s="6">
        <v>150</v>
      </c>
      <c r="R30" s="6">
        <f>(Table1[[#This Row],[b]]*(Table1[[#This Row],[d]]^2))/6</f>
        <v>187500</v>
      </c>
      <c r="S30" s="6">
        <f>Table1[[#This Row],[b]]*Table1[[#This Row],[d]]</f>
        <v>7500</v>
      </c>
      <c r="T30" s="6">
        <v>1000</v>
      </c>
    </row>
    <row r="31" spans="1:20" x14ac:dyDescent="0.25">
      <c r="A31" s="6">
        <v>500</v>
      </c>
      <c r="B31" s="6">
        <v>200</v>
      </c>
      <c r="C31" s="6">
        <v>20</v>
      </c>
      <c r="D31" s="6">
        <v>30</v>
      </c>
      <c r="E31" s="6">
        <f>(Table1[[#This Row],[Load(p)]]*Table1[[#This Row],[x]])/Table1[[#This Row],[l]]</f>
        <v>400</v>
      </c>
      <c r="F31" s="6">
        <f>(Table1[[#This Row],[Load(p)]]*(Table1[[#This Row],[l]]-Table1[[#This Row],[x]])/Table1[[#This Row],[l]])</f>
        <v>600</v>
      </c>
      <c r="G31" s="6">
        <f>(((2*Table1[[#This Row],[x]])-Table1[[#This Row],[l]])*(Table1[[#This Row],[Load(p)]]*Table1[[#This Row],[c]]))/Table1[[#This Row],[l]]</f>
        <v>-4000</v>
      </c>
      <c r="H31" s="6">
        <f>(((2*Table1[[#This Row],[x]])-Table1[[#This Row],[l]])*(Table1[[#This Row],[Load(p)]]))/Table1[[#This Row],[l]]</f>
        <v>-200</v>
      </c>
      <c r="I31" s="6">
        <f>(Table1[[#This Row],[Load(p)]]*(Table1[[#This Row],[l]]-Table1[[#This Row],[x]]))/Table1[[#This Row],[l]]</f>
        <v>600</v>
      </c>
      <c r="J31" s="6">
        <f>(Table1[[#This Row],[Load(p)]]*Table1[[#This Row],[x]])/Table1[[#This Row],[l]]</f>
        <v>400</v>
      </c>
      <c r="K31" s="6">
        <f>Table1[[#This Row],[BM]]/Table1[[#This Row],[Z]]</f>
        <v>-2.1333333333333333E-2</v>
      </c>
      <c r="L31" s="6">
        <f>Table1[[#This Row],[SF]]/Table1[[#This Row],[bd]]</f>
        <v>-2.6666666666666668E-2</v>
      </c>
      <c r="M31" s="8">
        <f t="shared" si="6"/>
        <v>-0.20710676400594122</v>
      </c>
      <c r="N31" s="8">
        <f>(Table1[[#This Row],[Shear Stress]])*SQRT(PI()*Table1[[#This Row],[a]])</f>
        <v>-0.25888345500742654</v>
      </c>
      <c r="O31" s="8">
        <f t="shared" si="7"/>
        <v>0.42955342504544547</v>
      </c>
      <c r="P31" s="6">
        <v>50</v>
      </c>
      <c r="Q31" s="6">
        <v>150</v>
      </c>
      <c r="R31" s="6">
        <f>(Table1[[#This Row],[b]]*(Table1[[#This Row],[d]]^2))/6</f>
        <v>187500</v>
      </c>
      <c r="S31" s="6">
        <f>Table1[[#This Row],[b]]*Table1[[#This Row],[d]]</f>
        <v>7500</v>
      </c>
      <c r="T31" s="6">
        <v>1000</v>
      </c>
    </row>
    <row r="32" spans="1:20" x14ac:dyDescent="0.25">
      <c r="A32" s="6">
        <v>500</v>
      </c>
      <c r="B32" s="6">
        <v>200</v>
      </c>
      <c r="C32" s="6">
        <v>20.5</v>
      </c>
      <c r="D32" s="6">
        <v>30</v>
      </c>
      <c r="E32" s="6">
        <f>(Table1[[#This Row],[Load(p)]]*Table1[[#This Row],[x]])/Table1[[#This Row],[l]]</f>
        <v>400</v>
      </c>
      <c r="F32" s="6">
        <f>(Table1[[#This Row],[Load(p)]]*(Table1[[#This Row],[l]]-Table1[[#This Row],[x]])/Table1[[#This Row],[l]])</f>
        <v>600</v>
      </c>
      <c r="G32" s="6">
        <f>(((2*Table1[[#This Row],[x]])-Table1[[#This Row],[l]])*(Table1[[#This Row],[Load(p)]]*Table1[[#This Row],[c]]))/Table1[[#This Row],[l]]</f>
        <v>-4100</v>
      </c>
      <c r="H32" s="6">
        <f>(((2*Table1[[#This Row],[x]])-Table1[[#This Row],[l]])*(Table1[[#This Row],[Load(p)]]))/Table1[[#This Row],[l]]</f>
        <v>-200</v>
      </c>
      <c r="I32" s="6">
        <f>(Table1[[#This Row],[Load(p)]]*(Table1[[#This Row],[l]]-Table1[[#This Row],[x]]))/Table1[[#This Row],[l]]</f>
        <v>600</v>
      </c>
      <c r="J32" s="6">
        <f>(Table1[[#This Row],[Load(p)]]*Table1[[#This Row],[x]])/Table1[[#This Row],[l]]</f>
        <v>400</v>
      </c>
      <c r="K32" s="6">
        <f>Table1[[#This Row],[BM]]/Table1[[#This Row],[Z]]</f>
        <v>-2.1866666666666666E-2</v>
      </c>
      <c r="L32" s="6">
        <f>Table1[[#This Row],[SF]]/Table1[[#This Row],[bd]]</f>
        <v>-2.6666666666666668E-2</v>
      </c>
      <c r="M32" s="8">
        <f t="shared" si="6"/>
        <v>-0.21228443310608977</v>
      </c>
      <c r="N32" s="8">
        <f>(Table1[[#This Row],[Shear Stress]])*SQRT(PI()*Table1[[#This Row],[a]])</f>
        <v>-0.25888345500742654</v>
      </c>
      <c r="O32" s="8">
        <f t="shared" si="7"/>
        <v>0.43724169584738604</v>
      </c>
      <c r="P32" s="6">
        <v>50</v>
      </c>
      <c r="Q32" s="6">
        <v>150</v>
      </c>
      <c r="R32" s="6">
        <f>(Table1[[#This Row],[b]]*(Table1[[#This Row],[d]]^2))/6</f>
        <v>187500</v>
      </c>
      <c r="S32" s="6">
        <f>Table1[[#This Row],[b]]*Table1[[#This Row],[d]]</f>
        <v>7500</v>
      </c>
      <c r="T32" s="6">
        <v>1000</v>
      </c>
    </row>
    <row r="33" spans="1:20" x14ac:dyDescent="0.25">
      <c r="A33" s="6">
        <v>500</v>
      </c>
      <c r="B33" s="6">
        <v>200</v>
      </c>
      <c r="C33" s="6">
        <v>21</v>
      </c>
      <c r="D33" s="6">
        <v>30</v>
      </c>
      <c r="E33" s="6">
        <f>(Table1[[#This Row],[Load(p)]]*Table1[[#This Row],[x]])/Table1[[#This Row],[l]]</f>
        <v>400</v>
      </c>
      <c r="F33" s="6">
        <f>(Table1[[#This Row],[Load(p)]]*(Table1[[#This Row],[l]]-Table1[[#This Row],[x]])/Table1[[#This Row],[l]])</f>
        <v>600</v>
      </c>
      <c r="G33" s="6">
        <f>(((2*Table1[[#This Row],[x]])-Table1[[#This Row],[l]])*(Table1[[#This Row],[Load(p)]]*Table1[[#This Row],[c]]))/Table1[[#This Row],[l]]</f>
        <v>-4200</v>
      </c>
      <c r="H33" s="6">
        <f>(((2*Table1[[#This Row],[x]])-Table1[[#This Row],[l]])*(Table1[[#This Row],[Load(p)]]))/Table1[[#This Row],[l]]</f>
        <v>-200</v>
      </c>
      <c r="I33" s="6">
        <f>(Table1[[#This Row],[Load(p)]]*(Table1[[#This Row],[l]]-Table1[[#This Row],[x]]))/Table1[[#This Row],[l]]</f>
        <v>600</v>
      </c>
      <c r="J33" s="6">
        <f>(Table1[[#This Row],[Load(p)]]*Table1[[#This Row],[x]])/Table1[[#This Row],[l]]</f>
        <v>400</v>
      </c>
      <c r="K33" s="6">
        <f>Table1[[#This Row],[BM]]/Table1[[#This Row],[Z]]</f>
        <v>-2.24E-2</v>
      </c>
      <c r="L33" s="6">
        <f>Table1[[#This Row],[SF]]/Table1[[#This Row],[bd]]</f>
        <v>-2.6666666666666668E-2</v>
      </c>
      <c r="M33" s="8">
        <f t="shared" si="6"/>
        <v>-0.21746210220623829</v>
      </c>
      <c r="N33" s="8">
        <f>(Table1[[#This Row],[Shear Stress]])*SQRT(PI()*Table1[[#This Row],[a]])</f>
        <v>-0.25888345500742654</v>
      </c>
      <c r="O33" s="8">
        <f t="shared" si="7"/>
        <v>0.44478065857655219</v>
      </c>
      <c r="P33" s="6">
        <v>50</v>
      </c>
      <c r="Q33" s="6">
        <v>150</v>
      </c>
      <c r="R33" s="6">
        <f>(Table1[[#This Row],[b]]*(Table1[[#This Row],[d]]^2))/6</f>
        <v>187500</v>
      </c>
      <c r="S33" s="6">
        <f>Table1[[#This Row],[b]]*Table1[[#This Row],[d]]</f>
        <v>7500</v>
      </c>
      <c r="T33" s="6">
        <v>1000</v>
      </c>
    </row>
    <row r="34" spans="1:20" x14ac:dyDescent="0.25">
      <c r="A34" s="6">
        <v>500</v>
      </c>
      <c r="B34" s="6">
        <v>200</v>
      </c>
      <c r="C34" s="6">
        <v>21.5</v>
      </c>
      <c r="D34" s="6">
        <v>30</v>
      </c>
      <c r="E34" s="6">
        <f>(Table1[[#This Row],[Load(p)]]*Table1[[#This Row],[x]])/Table1[[#This Row],[l]]</f>
        <v>400</v>
      </c>
      <c r="F34" s="6">
        <f>(Table1[[#This Row],[Load(p)]]*(Table1[[#This Row],[l]]-Table1[[#This Row],[x]])/Table1[[#This Row],[l]])</f>
        <v>600</v>
      </c>
      <c r="G34" s="6">
        <f>(((2*Table1[[#This Row],[x]])-Table1[[#This Row],[l]])*(Table1[[#This Row],[Load(p)]]*Table1[[#This Row],[c]]))/Table1[[#This Row],[l]]</f>
        <v>-4300</v>
      </c>
      <c r="H34" s="6">
        <f>(((2*Table1[[#This Row],[x]])-Table1[[#This Row],[l]])*(Table1[[#This Row],[Load(p)]]))/Table1[[#This Row],[l]]</f>
        <v>-200</v>
      </c>
      <c r="I34" s="6">
        <f>(Table1[[#This Row],[Load(p)]]*(Table1[[#This Row],[l]]-Table1[[#This Row],[x]]))/Table1[[#This Row],[l]]</f>
        <v>600</v>
      </c>
      <c r="J34" s="6">
        <f>(Table1[[#This Row],[Load(p)]]*Table1[[#This Row],[x]])/Table1[[#This Row],[l]]</f>
        <v>400</v>
      </c>
      <c r="K34" s="6">
        <f>Table1[[#This Row],[BM]]/Table1[[#This Row],[Z]]</f>
        <v>-2.2933333333333333E-2</v>
      </c>
      <c r="L34" s="6">
        <f>Table1[[#This Row],[SF]]/Table1[[#This Row],[bd]]</f>
        <v>-2.6666666666666668E-2</v>
      </c>
      <c r="M34" s="8">
        <f t="shared" si="6"/>
        <v>-0.22263977130638682</v>
      </c>
      <c r="N34" s="8">
        <f>(Table1[[#This Row],[Shear Stress]])*SQRT(PI()*Table1[[#This Row],[a]])</f>
        <v>-0.25888345500742654</v>
      </c>
      <c r="O34" s="8">
        <f t="shared" si="7"/>
        <v>0.45217256710546688</v>
      </c>
      <c r="P34" s="6">
        <v>50</v>
      </c>
      <c r="Q34" s="6">
        <v>150</v>
      </c>
      <c r="R34" s="6">
        <f>(Table1[[#This Row],[b]]*(Table1[[#This Row],[d]]^2))/6</f>
        <v>187500</v>
      </c>
      <c r="S34" s="6">
        <f>Table1[[#This Row],[b]]*Table1[[#This Row],[d]]</f>
        <v>7500</v>
      </c>
      <c r="T34" s="6">
        <v>1000</v>
      </c>
    </row>
    <row r="35" spans="1:20" x14ac:dyDescent="0.25">
      <c r="A35" s="6">
        <v>500</v>
      </c>
      <c r="B35" s="6">
        <v>200</v>
      </c>
      <c r="C35" s="6">
        <v>22</v>
      </c>
      <c r="D35" s="6">
        <v>30</v>
      </c>
      <c r="E35" s="6">
        <f>(Table1[[#This Row],[Load(p)]]*Table1[[#This Row],[x]])/Table1[[#This Row],[l]]</f>
        <v>400</v>
      </c>
      <c r="F35" s="6">
        <f>(Table1[[#This Row],[Load(p)]]*(Table1[[#This Row],[l]]-Table1[[#This Row],[x]])/Table1[[#This Row],[l]])</f>
        <v>600</v>
      </c>
      <c r="G35" s="6">
        <f>(((2*Table1[[#This Row],[x]])-Table1[[#This Row],[l]])*(Table1[[#This Row],[Load(p)]]*Table1[[#This Row],[c]]))/Table1[[#This Row],[l]]</f>
        <v>-4400</v>
      </c>
      <c r="H35" s="6">
        <f>(((2*Table1[[#This Row],[x]])-Table1[[#This Row],[l]])*(Table1[[#This Row],[Load(p)]]))/Table1[[#This Row],[l]]</f>
        <v>-200</v>
      </c>
      <c r="I35" s="6">
        <f>(Table1[[#This Row],[Load(p)]]*(Table1[[#This Row],[l]]-Table1[[#This Row],[x]]))/Table1[[#This Row],[l]]</f>
        <v>600</v>
      </c>
      <c r="J35" s="6">
        <f>(Table1[[#This Row],[Load(p)]]*Table1[[#This Row],[x]])/Table1[[#This Row],[l]]</f>
        <v>400</v>
      </c>
      <c r="K35" s="6">
        <f>Table1[[#This Row],[BM]]/Table1[[#This Row],[Z]]</f>
        <v>-2.3466666666666667E-2</v>
      </c>
      <c r="L35" s="6">
        <f>Table1[[#This Row],[SF]]/Table1[[#This Row],[bd]]</f>
        <v>-2.6666666666666668E-2</v>
      </c>
      <c r="M35" s="8">
        <f t="shared" si="6"/>
        <v>-0.22781744040653537</v>
      </c>
      <c r="N35" s="8">
        <f>(Table1[[#This Row],[Shear Stress]])*SQRT(PI()*Table1[[#This Row],[a]])</f>
        <v>-0.25888345500742654</v>
      </c>
      <c r="O35" s="8">
        <f t="shared" si="7"/>
        <v>0.4594197468854852</v>
      </c>
      <c r="P35" s="6">
        <v>50</v>
      </c>
      <c r="Q35" s="6">
        <v>150</v>
      </c>
      <c r="R35" s="6">
        <f>(Table1[[#This Row],[b]]*(Table1[[#This Row],[d]]^2))/6</f>
        <v>187500</v>
      </c>
      <c r="S35" s="6">
        <f>Table1[[#This Row],[b]]*Table1[[#This Row],[d]]</f>
        <v>7500</v>
      </c>
      <c r="T35" s="6">
        <v>1000</v>
      </c>
    </row>
    <row r="36" spans="1:20" x14ac:dyDescent="0.25">
      <c r="A36" s="6">
        <v>500</v>
      </c>
      <c r="B36" s="6">
        <v>200</v>
      </c>
      <c r="C36" s="6">
        <v>22.5</v>
      </c>
      <c r="D36" s="6">
        <v>30</v>
      </c>
      <c r="E36" s="6">
        <f>(Table1[[#This Row],[Load(p)]]*Table1[[#This Row],[x]])/Table1[[#This Row],[l]]</f>
        <v>400</v>
      </c>
      <c r="F36" s="6">
        <f>(Table1[[#This Row],[Load(p)]]*(Table1[[#This Row],[l]]-Table1[[#This Row],[x]])/Table1[[#This Row],[l]])</f>
        <v>600</v>
      </c>
      <c r="G36" s="6">
        <f>(((2*Table1[[#This Row],[x]])-Table1[[#This Row],[l]])*(Table1[[#This Row],[Load(p)]]*Table1[[#This Row],[c]]))/Table1[[#This Row],[l]]</f>
        <v>-4500</v>
      </c>
      <c r="H36" s="6">
        <f>(((2*Table1[[#This Row],[x]])-Table1[[#This Row],[l]])*(Table1[[#This Row],[Load(p)]]))/Table1[[#This Row],[l]]</f>
        <v>-200</v>
      </c>
      <c r="I36" s="6">
        <f>(Table1[[#This Row],[Load(p)]]*(Table1[[#This Row],[l]]-Table1[[#This Row],[x]]))/Table1[[#This Row],[l]]</f>
        <v>600</v>
      </c>
      <c r="J36" s="6">
        <f>(Table1[[#This Row],[Load(p)]]*Table1[[#This Row],[x]])/Table1[[#This Row],[l]]</f>
        <v>400</v>
      </c>
      <c r="K36" s="6">
        <f>Table1[[#This Row],[BM]]/Table1[[#This Row],[Z]]</f>
        <v>-2.4E-2</v>
      </c>
      <c r="L36" s="6">
        <f>Table1[[#This Row],[SF]]/Table1[[#This Row],[bd]]</f>
        <v>-2.6666666666666668E-2</v>
      </c>
      <c r="M36" s="8">
        <f t="shared" si="6"/>
        <v>-0.2329951095066839</v>
      </c>
      <c r="N36" s="8">
        <f>(Table1[[#This Row],[Shear Stress]])*SQRT(PI()*Table1[[#This Row],[a]])</f>
        <v>-0.25888345500742654</v>
      </c>
      <c r="O36" s="8">
        <f t="shared" si="7"/>
        <v>0.46652458328685176</v>
      </c>
      <c r="P36" s="6">
        <v>50</v>
      </c>
      <c r="Q36" s="6">
        <v>150</v>
      </c>
      <c r="R36" s="6">
        <f>(Table1[[#This Row],[b]]*(Table1[[#This Row],[d]]^2))/6</f>
        <v>187500</v>
      </c>
      <c r="S36" s="6">
        <f>Table1[[#This Row],[b]]*Table1[[#This Row],[d]]</f>
        <v>7500</v>
      </c>
      <c r="T36" s="6">
        <v>1000</v>
      </c>
    </row>
    <row r="37" spans="1:20" x14ac:dyDescent="0.25">
      <c r="A37" s="6">
        <v>500</v>
      </c>
      <c r="B37" s="6">
        <v>200</v>
      </c>
      <c r="C37" s="6">
        <v>23</v>
      </c>
      <c r="D37" s="6">
        <v>30</v>
      </c>
      <c r="E37" s="6">
        <f>(Table1[[#This Row],[Load(p)]]*Table1[[#This Row],[x]])/Table1[[#This Row],[l]]</f>
        <v>400</v>
      </c>
      <c r="F37" s="6">
        <f>(Table1[[#This Row],[Load(p)]]*(Table1[[#This Row],[l]]-Table1[[#This Row],[x]])/Table1[[#This Row],[l]])</f>
        <v>600</v>
      </c>
      <c r="G37" s="6">
        <f>(((2*Table1[[#This Row],[x]])-Table1[[#This Row],[l]])*(Table1[[#This Row],[Load(p)]]*Table1[[#This Row],[c]]))/Table1[[#This Row],[l]]</f>
        <v>-4600</v>
      </c>
      <c r="H37" s="6">
        <f>(((2*Table1[[#This Row],[x]])-Table1[[#This Row],[l]])*(Table1[[#This Row],[Load(p)]]))/Table1[[#This Row],[l]]</f>
        <v>-200</v>
      </c>
      <c r="I37" s="6">
        <f>(Table1[[#This Row],[Load(p)]]*(Table1[[#This Row],[l]]-Table1[[#This Row],[x]]))/Table1[[#This Row],[l]]</f>
        <v>600</v>
      </c>
      <c r="J37" s="6">
        <f>(Table1[[#This Row],[Load(p)]]*Table1[[#This Row],[x]])/Table1[[#This Row],[l]]</f>
        <v>400</v>
      </c>
      <c r="K37" s="6">
        <f>Table1[[#This Row],[BM]]/Table1[[#This Row],[Z]]</f>
        <v>-2.4533333333333334E-2</v>
      </c>
      <c r="L37" s="6">
        <f>Table1[[#This Row],[SF]]/Table1[[#This Row],[bd]]</f>
        <v>-2.6666666666666668E-2</v>
      </c>
      <c r="M37" s="8">
        <f t="shared" si="6"/>
        <v>-0.23817277860683242</v>
      </c>
      <c r="N37" s="8">
        <f>(Table1[[#This Row],[Shear Stress]])*SQRT(PI()*Table1[[#This Row],[a]])</f>
        <v>-0.25888345500742654</v>
      </c>
      <c r="O37" s="8">
        <f t="shared" si="7"/>
        <v>0.47348951077345769</v>
      </c>
      <c r="P37" s="6">
        <v>50</v>
      </c>
      <c r="Q37" s="6">
        <v>150</v>
      </c>
      <c r="R37" s="6">
        <f>(Table1[[#This Row],[b]]*(Table1[[#This Row],[d]]^2))/6</f>
        <v>187500</v>
      </c>
      <c r="S37" s="6">
        <f>Table1[[#This Row],[b]]*Table1[[#This Row],[d]]</f>
        <v>7500</v>
      </c>
      <c r="T37" s="6">
        <v>1000</v>
      </c>
    </row>
    <row r="38" spans="1:20" x14ac:dyDescent="0.25">
      <c r="A38" s="6">
        <v>500</v>
      </c>
      <c r="B38" s="6">
        <v>200</v>
      </c>
      <c r="C38" s="6">
        <v>23.5</v>
      </c>
      <c r="D38" s="6">
        <v>30</v>
      </c>
      <c r="E38" s="6">
        <f>(Table1[[#This Row],[Load(p)]]*Table1[[#This Row],[x]])/Table1[[#This Row],[l]]</f>
        <v>400</v>
      </c>
      <c r="F38" s="6">
        <f>(Table1[[#This Row],[Load(p)]]*(Table1[[#This Row],[l]]-Table1[[#This Row],[x]])/Table1[[#This Row],[l]])</f>
        <v>600</v>
      </c>
      <c r="G38" s="6">
        <f>(((2*Table1[[#This Row],[x]])-Table1[[#This Row],[l]])*(Table1[[#This Row],[Load(p)]]*Table1[[#This Row],[c]]))/Table1[[#This Row],[l]]</f>
        <v>-4700</v>
      </c>
      <c r="H38" s="6">
        <f>(((2*Table1[[#This Row],[x]])-Table1[[#This Row],[l]])*(Table1[[#This Row],[Load(p)]]))/Table1[[#This Row],[l]]</f>
        <v>-200</v>
      </c>
      <c r="I38" s="6">
        <f>(Table1[[#This Row],[Load(p)]]*(Table1[[#This Row],[l]]-Table1[[#This Row],[x]]))/Table1[[#This Row],[l]]</f>
        <v>600</v>
      </c>
      <c r="J38" s="6">
        <f>(Table1[[#This Row],[Load(p)]]*Table1[[#This Row],[x]])/Table1[[#This Row],[l]]</f>
        <v>400</v>
      </c>
      <c r="K38" s="6">
        <f>Table1[[#This Row],[BM]]/Table1[[#This Row],[Z]]</f>
        <v>-2.5066666666666668E-2</v>
      </c>
      <c r="L38" s="6">
        <f>Table1[[#This Row],[SF]]/Table1[[#This Row],[bd]]</f>
        <v>-2.6666666666666668E-2</v>
      </c>
      <c r="M38" s="8">
        <f t="shared" si="6"/>
        <v>-0.24335044770698097</v>
      </c>
      <c r="N38" s="8">
        <f>(Table1[[#This Row],[Shear Stress]])*SQRT(PI()*Table1[[#This Row],[a]])</f>
        <v>-0.25888345500742654</v>
      </c>
      <c r="O38" s="8">
        <f t="shared" si="7"/>
        <v>0.48031700288851031</v>
      </c>
      <c r="P38" s="6">
        <v>50</v>
      </c>
      <c r="Q38" s="6">
        <v>150</v>
      </c>
      <c r="R38" s="6">
        <f>(Table1[[#This Row],[b]]*(Table1[[#This Row],[d]]^2))/6</f>
        <v>187500</v>
      </c>
      <c r="S38" s="6">
        <f>Table1[[#This Row],[b]]*Table1[[#This Row],[d]]</f>
        <v>7500</v>
      </c>
      <c r="T38" s="6">
        <v>1000</v>
      </c>
    </row>
    <row r="39" spans="1:20" x14ac:dyDescent="0.25">
      <c r="A39" s="6">
        <v>500</v>
      </c>
      <c r="B39" s="6">
        <v>200</v>
      </c>
      <c r="C39" s="6">
        <v>24</v>
      </c>
      <c r="D39" s="6">
        <v>30</v>
      </c>
      <c r="E39" s="6">
        <f>(Table1[[#This Row],[Load(p)]]*Table1[[#This Row],[x]])/Table1[[#This Row],[l]]</f>
        <v>400</v>
      </c>
      <c r="F39" s="6">
        <f>(Table1[[#This Row],[Load(p)]]*(Table1[[#This Row],[l]]-Table1[[#This Row],[x]])/Table1[[#This Row],[l]])</f>
        <v>600</v>
      </c>
      <c r="G39" s="6">
        <f>(((2*Table1[[#This Row],[x]])-Table1[[#This Row],[l]])*(Table1[[#This Row],[Load(p)]]*Table1[[#This Row],[c]]))/Table1[[#This Row],[l]]</f>
        <v>-4800</v>
      </c>
      <c r="H39" s="6">
        <f>(((2*Table1[[#This Row],[x]])-Table1[[#This Row],[l]])*(Table1[[#This Row],[Load(p)]]))/Table1[[#This Row],[l]]</f>
        <v>-200</v>
      </c>
      <c r="I39" s="6">
        <f>(Table1[[#This Row],[Load(p)]]*(Table1[[#This Row],[l]]-Table1[[#This Row],[x]]))/Table1[[#This Row],[l]]</f>
        <v>600</v>
      </c>
      <c r="J39" s="6">
        <f>(Table1[[#This Row],[Load(p)]]*Table1[[#This Row],[x]])/Table1[[#This Row],[l]]</f>
        <v>400</v>
      </c>
      <c r="K39" s="6">
        <f>Table1[[#This Row],[BM]]/Table1[[#This Row],[Z]]</f>
        <v>-2.5600000000000001E-2</v>
      </c>
      <c r="L39" s="6">
        <f>Table1[[#This Row],[SF]]/Table1[[#This Row],[bd]]</f>
        <v>-2.6666666666666668E-2</v>
      </c>
      <c r="M39" s="8">
        <f t="shared" si="6"/>
        <v>-0.2485281168071295</v>
      </c>
      <c r="N39" s="8">
        <f>(Table1[[#This Row],[Shear Stress]])*SQRT(PI()*Table1[[#This Row],[a]])</f>
        <v>-0.25888345500742654</v>
      </c>
      <c r="O39" s="8">
        <f t="shared" si="7"/>
        <v>0.48700956302325094</v>
      </c>
      <c r="P39" s="6">
        <v>50</v>
      </c>
      <c r="Q39" s="6">
        <v>150</v>
      </c>
      <c r="R39" s="6">
        <f>(Table1[[#This Row],[b]]*(Table1[[#This Row],[d]]^2))/6</f>
        <v>187500</v>
      </c>
      <c r="S39" s="6">
        <f>Table1[[#This Row],[b]]*Table1[[#This Row],[d]]</f>
        <v>7500</v>
      </c>
      <c r="T39" s="6">
        <v>1000</v>
      </c>
    </row>
    <row r="40" spans="1:20" x14ac:dyDescent="0.25">
      <c r="A40" s="6">
        <v>500</v>
      </c>
      <c r="B40" s="6">
        <v>200</v>
      </c>
      <c r="C40" s="6">
        <v>24.5</v>
      </c>
      <c r="D40" s="6">
        <v>30</v>
      </c>
      <c r="E40" s="6">
        <f>(Table1[[#This Row],[Load(p)]]*Table1[[#This Row],[x]])/Table1[[#This Row],[l]]</f>
        <v>400</v>
      </c>
      <c r="F40" s="6">
        <f>(Table1[[#This Row],[Load(p)]]*(Table1[[#This Row],[l]]-Table1[[#This Row],[x]])/Table1[[#This Row],[l]])</f>
        <v>600</v>
      </c>
      <c r="G40" s="6">
        <f>(((2*Table1[[#This Row],[x]])-Table1[[#This Row],[l]])*(Table1[[#This Row],[Load(p)]]*Table1[[#This Row],[c]]))/Table1[[#This Row],[l]]</f>
        <v>-4900</v>
      </c>
      <c r="H40" s="6">
        <f>(((2*Table1[[#This Row],[x]])-Table1[[#This Row],[l]])*(Table1[[#This Row],[Load(p)]]))/Table1[[#This Row],[l]]</f>
        <v>-200</v>
      </c>
      <c r="I40" s="6">
        <f>(Table1[[#This Row],[Load(p)]]*(Table1[[#This Row],[l]]-Table1[[#This Row],[x]]))/Table1[[#This Row],[l]]</f>
        <v>600</v>
      </c>
      <c r="J40" s="6">
        <f>(Table1[[#This Row],[Load(p)]]*Table1[[#This Row],[x]])/Table1[[#This Row],[l]]</f>
        <v>400</v>
      </c>
      <c r="K40" s="6">
        <f>Table1[[#This Row],[BM]]/Table1[[#This Row],[Z]]</f>
        <v>-2.6133333333333335E-2</v>
      </c>
      <c r="L40" s="6">
        <f>Table1[[#This Row],[SF]]/Table1[[#This Row],[bd]]</f>
        <v>-2.6666666666666668E-2</v>
      </c>
      <c r="M40" s="8">
        <f t="shared" si="6"/>
        <v>-0.25370578590727805</v>
      </c>
      <c r="N40" s="8">
        <f>(Table1[[#This Row],[Shear Stress]])*SQRT(PI()*Table1[[#This Row],[a]])</f>
        <v>-0.25888345500742654</v>
      </c>
      <c r="O40" s="8">
        <f t="shared" si="7"/>
        <v>0.49356971593769161</v>
      </c>
      <c r="P40" s="6">
        <v>50</v>
      </c>
      <c r="Q40" s="6">
        <v>150</v>
      </c>
      <c r="R40" s="6">
        <f>(Table1[[#This Row],[b]]*(Table1[[#This Row],[d]]^2))/6</f>
        <v>187500</v>
      </c>
      <c r="S40" s="6">
        <f>Table1[[#This Row],[b]]*Table1[[#This Row],[d]]</f>
        <v>7500</v>
      </c>
      <c r="T40" s="6">
        <v>1000</v>
      </c>
    </row>
    <row r="41" spans="1:20" x14ac:dyDescent="0.25">
      <c r="A41" s="6">
        <v>500</v>
      </c>
      <c r="B41" s="6">
        <v>200</v>
      </c>
      <c r="C41" s="6">
        <v>25</v>
      </c>
      <c r="D41" s="6">
        <v>30</v>
      </c>
      <c r="E41" s="6">
        <f>(Table1[[#This Row],[Load(p)]]*Table1[[#This Row],[x]])/Table1[[#This Row],[l]]</f>
        <v>400</v>
      </c>
      <c r="F41" s="6">
        <f>(Table1[[#This Row],[Load(p)]]*(Table1[[#This Row],[l]]-Table1[[#This Row],[x]])/Table1[[#This Row],[l]])</f>
        <v>600</v>
      </c>
      <c r="G41" s="6">
        <f>(((2*Table1[[#This Row],[x]])-Table1[[#This Row],[l]])*(Table1[[#This Row],[Load(p)]]*Table1[[#This Row],[c]]))/Table1[[#This Row],[l]]</f>
        <v>-5000</v>
      </c>
      <c r="H41" s="6">
        <f>(((2*Table1[[#This Row],[x]])-Table1[[#This Row],[l]])*(Table1[[#This Row],[Load(p)]]))/Table1[[#This Row],[l]]</f>
        <v>-200</v>
      </c>
      <c r="I41" s="6">
        <f>(Table1[[#This Row],[Load(p)]]*(Table1[[#This Row],[l]]-Table1[[#This Row],[x]]))/Table1[[#This Row],[l]]</f>
        <v>600</v>
      </c>
      <c r="J41" s="6">
        <f>(Table1[[#This Row],[Load(p)]]*Table1[[#This Row],[x]])/Table1[[#This Row],[l]]</f>
        <v>400</v>
      </c>
      <c r="K41" s="6">
        <f>Table1[[#This Row],[BM]]/Table1[[#This Row],[Z]]</f>
        <v>-2.6666666666666668E-2</v>
      </c>
      <c r="L41" s="6">
        <f>Table1[[#This Row],[SF]]/Table1[[#This Row],[bd]]</f>
        <v>-2.6666666666666668E-2</v>
      </c>
      <c r="M41" s="8">
        <f t="shared" si="6"/>
        <v>-0.25888345500742654</v>
      </c>
      <c r="N41" s="8">
        <f>(Table1[[#This Row],[Shear Stress]])*SQRT(PI()*Table1[[#This Row],[a]])</f>
        <v>-0.25888345500742654</v>
      </c>
      <c r="O41" s="8">
        <f t="shared" si="7"/>
        <v>0.5</v>
      </c>
      <c r="P41" s="6">
        <v>50</v>
      </c>
      <c r="Q41" s="6">
        <v>150</v>
      </c>
      <c r="R41" s="6">
        <f>(Table1[[#This Row],[b]]*(Table1[[#This Row],[d]]^2))/6</f>
        <v>187500</v>
      </c>
      <c r="S41" s="6">
        <f>Table1[[#This Row],[b]]*Table1[[#This Row],[d]]</f>
        <v>7500</v>
      </c>
      <c r="T41" s="6">
        <v>1000</v>
      </c>
    </row>
    <row r="42" spans="1:20" x14ac:dyDescent="0.25">
      <c r="A42" s="6">
        <v>500</v>
      </c>
      <c r="B42" s="6">
        <v>200</v>
      </c>
      <c r="C42" s="6">
        <v>25.5</v>
      </c>
      <c r="D42" s="6">
        <v>30</v>
      </c>
      <c r="E42" s="6">
        <f>(Table1[[#This Row],[Load(p)]]*Table1[[#This Row],[x]])/Table1[[#This Row],[l]]</f>
        <v>400</v>
      </c>
      <c r="F42" s="6">
        <f>(Table1[[#This Row],[Load(p)]]*(Table1[[#This Row],[l]]-Table1[[#This Row],[x]])/Table1[[#This Row],[l]])</f>
        <v>600</v>
      </c>
      <c r="G42" s="6">
        <f>(((2*Table1[[#This Row],[x]])-Table1[[#This Row],[l]])*(Table1[[#This Row],[Load(p)]]*Table1[[#This Row],[c]]))/Table1[[#This Row],[l]]</f>
        <v>-5100</v>
      </c>
      <c r="H42" s="6">
        <f>(((2*Table1[[#This Row],[x]])-Table1[[#This Row],[l]])*(Table1[[#This Row],[Load(p)]]))/Table1[[#This Row],[l]]</f>
        <v>-200</v>
      </c>
      <c r="I42" s="6">
        <f>(Table1[[#This Row],[Load(p)]]*(Table1[[#This Row],[l]]-Table1[[#This Row],[x]]))/Table1[[#This Row],[l]]</f>
        <v>600</v>
      </c>
      <c r="J42" s="6">
        <f>(Table1[[#This Row],[Load(p)]]*Table1[[#This Row],[x]])/Table1[[#This Row],[l]]</f>
        <v>400</v>
      </c>
      <c r="K42" s="6">
        <f>Table1[[#This Row],[BM]]/Table1[[#This Row],[Z]]</f>
        <v>-2.7199999999999998E-2</v>
      </c>
      <c r="L42" s="6">
        <f>Table1[[#This Row],[SF]]/Table1[[#This Row],[bd]]</f>
        <v>-2.6666666666666668E-2</v>
      </c>
      <c r="M42" s="8">
        <f t="shared" si="6"/>
        <v>-0.26406112410757504</v>
      </c>
      <c r="N42" s="8">
        <f>(Table1[[#This Row],[Shear Stress]])*SQRT(PI()*Table1[[#This Row],[a]])</f>
        <v>-0.25888345500742654</v>
      </c>
      <c r="O42" s="8">
        <f t="shared" si="7"/>
        <v>0.50630296010953257</v>
      </c>
      <c r="P42" s="6">
        <v>50</v>
      </c>
      <c r="Q42" s="6">
        <v>150</v>
      </c>
      <c r="R42" s="6">
        <f>(Table1[[#This Row],[b]]*(Table1[[#This Row],[d]]^2))/6</f>
        <v>187500</v>
      </c>
      <c r="S42" s="6">
        <f>Table1[[#This Row],[b]]*Table1[[#This Row],[d]]</f>
        <v>7500</v>
      </c>
      <c r="T42" s="6">
        <v>1000</v>
      </c>
    </row>
    <row r="43" spans="1:20" x14ac:dyDescent="0.25">
      <c r="A43" s="6">
        <v>500</v>
      </c>
      <c r="B43" s="6">
        <v>200</v>
      </c>
      <c r="C43" s="6">
        <v>26</v>
      </c>
      <c r="D43" s="6">
        <v>30</v>
      </c>
      <c r="E43" s="6">
        <f>(Table1[[#This Row],[Load(p)]]*Table1[[#This Row],[x]])/Table1[[#This Row],[l]]</f>
        <v>400</v>
      </c>
      <c r="F43" s="6">
        <f>(Table1[[#This Row],[Load(p)]]*(Table1[[#This Row],[l]]-Table1[[#This Row],[x]])/Table1[[#This Row],[l]])</f>
        <v>600</v>
      </c>
      <c r="G43" s="6">
        <f>(((2*Table1[[#This Row],[x]])-Table1[[#This Row],[l]])*(Table1[[#This Row],[Load(p)]]*Table1[[#This Row],[c]]))/Table1[[#This Row],[l]]</f>
        <v>-5200</v>
      </c>
      <c r="H43" s="6">
        <f>(((2*Table1[[#This Row],[x]])-Table1[[#This Row],[l]])*(Table1[[#This Row],[Load(p)]]))/Table1[[#This Row],[l]]</f>
        <v>-200</v>
      </c>
      <c r="I43" s="6">
        <f>(Table1[[#This Row],[Load(p)]]*(Table1[[#This Row],[l]]-Table1[[#This Row],[x]]))/Table1[[#This Row],[l]]</f>
        <v>600</v>
      </c>
      <c r="J43" s="6">
        <f>(Table1[[#This Row],[Load(p)]]*Table1[[#This Row],[x]])/Table1[[#This Row],[l]]</f>
        <v>400</v>
      </c>
      <c r="K43" s="6">
        <f>Table1[[#This Row],[BM]]/Table1[[#This Row],[Z]]</f>
        <v>-2.7733333333333332E-2</v>
      </c>
      <c r="L43" s="6">
        <f>Table1[[#This Row],[SF]]/Table1[[#This Row],[bd]]</f>
        <v>-2.6666666666666668E-2</v>
      </c>
      <c r="M43" s="8">
        <f t="shared" si="6"/>
        <v>-0.26923879320772359</v>
      </c>
      <c r="N43" s="8">
        <f>(Table1[[#This Row],[Shear Stress]])*SQRT(PI()*Table1[[#This Row],[a]])</f>
        <v>-0.25888345500742654</v>
      </c>
      <c r="O43" s="8">
        <f t="shared" si="7"/>
        <v>0.51248114126750477</v>
      </c>
      <c r="P43" s="6">
        <v>50</v>
      </c>
      <c r="Q43" s="6">
        <v>150</v>
      </c>
      <c r="R43" s="6">
        <f>(Table1[[#This Row],[b]]*(Table1[[#This Row],[d]]^2))/6</f>
        <v>187500</v>
      </c>
      <c r="S43" s="6">
        <f>Table1[[#This Row],[b]]*Table1[[#This Row],[d]]</f>
        <v>7500</v>
      </c>
      <c r="T43" s="6">
        <v>1000</v>
      </c>
    </row>
    <row r="44" spans="1:20" x14ac:dyDescent="0.25">
      <c r="A44" s="6">
        <v>500</v>
      </c>
      <c r="B44" s="6">
        <v>200</v>
      </c>
      <c r="C44" s="6">
        <v>26.5</v>
      </c>
      <c r="D44" s="6">
        <v>30</v>
      </c>
      <c r="E44" s="6">
        <f>(Table1[[#This Row],[Load(p)]]*Table1[[#This Row],[x]])/Table1[[#This Row],[l]]</f>
        <v>400</v>
      </c>
      <c r="F44" s="6">
        <f>(Table1[[#This Row],[Load(p)]]*(Table1[[#This Row],[l]]-Table1[[#This Row],[x]])/Table1[[#This Row],[l]])</f>
        <v>600</v>
      </c>
      <c r="G44" s="6">
        <f>(((2*Table1[[#This Row],[x]])-Table1[[#This Row],[l]])*(Table1[[#This Row],[Load(p)]]*Table1[[#This Row],[c]]))/Table1[[#This Row],[l]]</f>
        <v>-5300</v>
      </c>
      <c r="H44" s="6">
        <f>(((2*Table1[[#This Row],[x]])-Table1[[#This Row],[l]])*(Table1[[#This Row],[Load(p)]]))/Table1[[#This Row],[l]]</f>
        <v>-200</v>
      </c>
      <c r="I44" s="6">
        <f>(Table1[[#This Row],[Load(p)]]*(Table1[[#This Row],[l]]-Table1[[#This Row],[x]]))/Table1[[#This Row],[l]]</f>
        <v>600</v>
      </c>
      <c r="J44" s="6">
        <f>(Table1[[#This Row],[Load(p)]]*Table1[[#This Row],[x]])/Table1[[#This Row],[l]]</f>
        <v>400</v>
      </c>
      <c r="K44" s="6">
        <f>Table1[[#This Row],[BM]]/Table1[[#This Row],[Z]]</f>
        <v>-2.8266666666666666E-2</v>
      </c>
      <c r="L44" s="6">
        <f>Table1[[#This Row],[SF]]/Table1[[#This Row],[bd]]</f>
        <v>-2.6666666666666668E-2</v>
      </c>
      <c r="M44" s="8">
        <f t="shared" si="6"/>
        <v>-0.27441646230787214</v>
      </c>
      <c r="N44" s="8">
        <f>(Table1[[#This Row],[Shear Stress]])*SQRT(PI()*Table1[[#This Row],[a]])</f>
        <v>-0.25888345500742654</v>
      </c>
      <c r="O44" s="8">
        <f t="shared" si="7"/>
        <v>0.5185370827588146</v>
      </c>
      <c r="P44" s="6">
        <v>50</v>
      </c>
      <c r="Q44" s="6">
        <v>150</v>
      </c>
      <c r="R44" s="6">
        <f>(Table1[[#This Row],[b]]*(Table1[[#This Row],[d]]^2))/6</f>
        <v>187500</v>
      </c>
      <c r="S44" s="6">
        <f>Table1[[#This Row],[b]]*Table1[[#This Row],[d]]</f>
        <v>7500</v>
      </c>
      <c r="T44" s="6">
        <v>1000</v>
      </c>
    </row>
    <row r="45" spans="1:20" x14ac:dyDescent="0.25">
      <c r="A45" s="6">
        <v>500</v>
      </c>
      <c r="B45" s="6">
        <v>200</v>
      </c>
      <c r="C45" s="6">
        <v>27</v>
      </c>
      <c r="D45" s="6">
        <v>30</v>
      </c>
      <c r="E45" s="6">
        <f>(Table1[[#This Row],[Load(p)]]*Table1[[#This Row],[x]])/Table1[[#This Row],[l]]</f>
        <v>400</v>
      </c>
      <c r="F45" s="6">
        <f>(Table1[[#This Row],[Load(p)]]*(Table1[[#This Row],[l]]-Table1[[#This Row],[x]])/Table1[[#This Row],[l]])</f>
        <v>600</v>
      </c>
      <c r="G45" s="6">
        <f>(((2*Table1[[#This Row],[x]])-Table1[[#This Row],[l]])*(Table1[[#This Row],[Load(p)]]*Table1[[#This Row],[c]]))/Table1[[#This Row],[l]]</f>
        <v>-5400</v>
      </c>
      <c r="H45" s="6">
        <f>(((2*Table1[[#This Row],[x]])-Table1[[#This Row],[l]])*(Table1[[#This Row],[Load(p)]]))/Table1[[#This Row],[l]]</f>
        <v>-200</v>
      </c>
      <c r="I45" s="6">
        <f>(Table1[[#This Row],[Load(p)]]*(Table1[[#This Row],[l]]-Table1[[#This Row],[x]]))/Table1[[#This Row],[l]]</f>
        <v>600</v>
      </c>
      <c r="J45" s="6">
        <f>(Table1[[#This Row],[Load(p)]]*Table1[[#This Row],[x]])/Table1[[#This Row],[l]]</f>
        <v>400</v>
      </c>
      <c r="K45" s="6">
        <f>Table1[[#This Row],[BM]]/Table1[[#This Row],[Z]]</f>
        <v>-2.8799999999999999E-2</v>
      </c>
      <c r="L45" s="6">
        <f>Table1[[#This Row],[SF]]/Table1[[#This Row],[bd]]</f>
        <v>-2.6666666666666668E-2</v>
      </c>
      <c r="M45" s="8">
        <f t="shared" si="6"/>
        <v>-0.27959413140802064</v>
      </c>
      <c r="N45" s="8">
        <f>(Table1[[#This Row],[Shear Stress]])*SQRT(PI()*Table1[[#This Row],[a]])</f>
        <v>-0.25888345500742654</v>
      </c>
      <c r="O45" s="8">
        <f t="shared" si="7"/>
        <v>0.52447331290850896</v>
      </c>
      <c r="P45" s="6">
        <v>50</v>
      </c>
      <c r="Q45" s="6">
        <v>150</v>
      </c>
      <c r="R45" s="6">
        <f>(Table1[[#This Row],[b]]*(Table1[[#This Row],[d]]^2))/6</f>
        <v>187500</v>
      </c>
      <c r="S45" s="6">
        <f>Table1[[#This Row],[b]]*Table1[[#This Row],[d]]</f>
        <v>7500</v>
      </c>
      <c r="T45" s="6">
        <v>1000</v>
      </c>
    </row>
    <row r="46" spans="1:20" x14ac:dyDescent="0.25">
      <c r="A46" s="6">
        <v>500</v>
      </c>
      <c r="B46" s="6">
        <v>200</v>
      </c>
      <c r="C46" s="6">
        <v>27.5</v>
      </c>
      <c r="D46" s="6">
        <v>30</v>
      </c>
      <c r="E46" s="6">
        <f>(Table1[[#This Row],[Load(p)]]*Table1[[#This Row],[x]])/Table1[[#This Row],[l]]</f>
        <v>400</v>
      </c>
      <c r="F46" s="6">
        <f>(Table1[[#This Row],[Load(p)]]*(Table1[[#This Row],[l]]-Table1[[#This Row],[x]])/Table1[[#This Row],[l]])</f>
        <v>600</v>
      </c>
      <c r="G46" s="6">
        <f>(((2*Table1[[#This Row],[x]])-Table1[[#This Row],[l]])*(Table1[[#This Row],[Load(p)]]*Table1[[#This Row],[c]]))/Table1[[#This Row],[l]]</f>
        <v>-5500</v>
      </c>
      <c r="H46" s="6">
        <f>(((2*Table1[[#This Row],[x]])-Table1[[#This Row],[l]])*(Table1[[#This Row],[Load(p)]]))/Table1[[#This Row],[l]]</f>
        <v>-200</v>
      </c>
      <c r="I46" s="6">
        <f>(Table1[[#This Row],[Load(p)]]*(Table1[[#This Row],[l]]-Table1[[#This Row],[x]]))/Table1[[#This Row],[l]]</f>
        <v>600</v>
      </c>
      <c r="J46" s="6">
        <f>(Table1[[#This Row],[Load(p)]]*Table1[[#This Row],[x]])/Table1[[#This Row],[l]]</f>
        <v>400</v>
      </c>
      <c r="K46" s="6">
        <f>Table1[[#This Row],[BM]]/Table1[[#This Row],[Z]]</f>
        <v>-2.9333333333333333E-2</v>
      </c>
      <c r="L46" s="6">
        <f>Table1[[#This Row],[SF]]/Table1[[#This Row],[bd]]</f>
        <v>-2.6666666666666668E-2</v>
      </c>
      <c r="M46" s="8">
        <f t="shared" si="6"/>
        <v>-0.28477180050816919</v>
      </c>
      <c r="N46" s="8">
        <f>(Table1[[#This Row],[Shear Stress]])*SQRT(PI()*Table1[[#This Row],[a]])</f>
        <v>-0.25888345500742654</v>
      </c>
      <c r="O46" s="8">
        <f t="shared" si="7"/>
        <v>0.53029234437673634</v>
      </c>
      <c r="P46" s="6">
        <v>50</v>
      </c>
      <c r="Q46" s="6">
        <v>150</v>
      </c>
      <c r="R46" s="6">
        <f>(Table1[[#This Row],[b]]*(Table1[[#This Row],[d]]^2))/6</f>
        <v>187500</v>
      </c>
      <c r="S46" s="6">
        <f>Table1[[#This Row],[b]]*Table1[[#This Row],[d]]</f>
        <v>7500</v>
      </c>
      <c r="T46" s="6">
        <v>1000</v>
      </c>
    </row>
    <row r="47" spans="1:20" x14ac:dyDescent="0.25">
      <c r="A47" s="6">
        <v>500</v>
      </c>
      <c r="B47" s="6">
        <v>200</v>
      </c>
      <c r="C47" s="6">
        <v>28</v>
      </c>
      <c r="D47" s="6">
        <v>30</v>
      </c>
      <c r="E47" s="6">
        <f>(Table1[[#This Row],[Load(p)]]*Table1[[#This Row],[x]])/Table1[[#This Row],[l]]</f>
        <v>400</v>
      </c>
      <c r="F47" s="6">
        <f>(Table1[[#This Row],[Load(p)]]*(Table1[[#This Row],[l]]-Table1[[#This Row],[x]])/Table1[[#This Row],[l]])</f>
        <v>600</v>
      </c>
      <c r="G47" s="6">
        <f>(((2*Table1[[#This Row],[x]])-Table1[[#This Row],[l]])*(Table1[[#This Row],[Load(p)]]*Table1[[#This Row],[c]]))/Table1[[#This Row],[l]]</f>
        <v>-5600</v>
      </c>
      <c r="H47" s="6">
        <f>(((2*Table1[[#This Row],[x]])-Table1[[#This Row],[l]])*(Table1[[#This Row],[Load(p)]]))/Table1[[#This Row],[l]]</f>
        <v>-200</v>
      </c>
      <c r="I47" s="6">
        <f>(Table1[[#This Row],[Load(p)]]*(Table1[[#This Row],[l]]-Table1[[#This Row],[x]]))/Table1[[#This Row],[l]]</f>
        <v>600</v>
      </c>
      <c r="J47" s="6">
        <f>(Table1[[#This Row],[Load(p)]]*Table1[[#This Row],[x]])/Table1[[#This Row],[l]]</f>
        <v>400</v>
      </c>
      <c r="K47" s="6">
        <f>Table1[[#This Row],[BM]]/Table1[[#This Row],[Z]]</f>
        <v>-2.9866666666666666E-2</v>
      </c>
      <c r="L47" s="6">
        <f>Table1[[#This Row],[SF]]/Table1[[#This Row],[bd]]</f>
        <v>-2.6666666666666668E-2</v>
      </c>
      <c r="M47" s="8">
        <f t="shared" si="6"/>
        <v>-0.28994946960831774</v>
      </c>
      <c r="N47" s="8">
        <f>(Table1[[#This Row],[Shear Stress]])*SQRT(PI()*Table1[[#This Row],[a]])</f>
        <v>-0.25888345500742654</v>
      </c>
      <c r="O47" s="8">
        <f t="shared" si="7"/>
        <v>0.53599666995669037</v>
      </c>
      <c r="P47" s="6">
        <v>50</v>
      </c>
      <c r="Q47" s="6">
        <v>150</v>
      </c>
      <c r="R47" s="6">
        <f>(Table1[[#This Row],[b]]*(Table1[[#This Row],[d]]^2))/6</f>
        <v>187500</v>
      </c>
      <c r="S47" s="6">
        <f>Table1[[#This Row],[b]]*Table1[[#This Row],[d]]</f>
        <v>7500</v>
      </c>
      <c r="T47" s="6">
        <v>1000</v>
      </c>
    </row>
    <row r="48" spans="1:20" x14ac:dyDescent="0.25">
      <c r="A48" s="6">
        <v>500</v>
      </c>
      <c r="B48" s="6">
        <v>200</v>
      </c>
      <c r="C48" s="6">
        <v>28.5</v>
      </c>
      <c r="D48" s="6">
        <v>30</v>
      </c>
      <c r="E48" s="6">
        <f>(Table1[[#This Row],[Load(p)]]*Table1[[#This Row],[x]])/Table1[[#This Row],[l]]</f>
        <v>400</v>
      </c>
      <c r="F48" s="6">
        <f>(Table1[[#This Row],[Load(p)]]*(Table1[[#This Row],[l]]-Table1[[#This Row],[x]])/Table1[[#This Row],[l]])</f>
        <v>600</v>
      </c>
      <c r="G48" s="6">
        <f>(((2*Table1[[#This Row],[x]])-Table1[[#This Row],[l]])*(Table1[[#This Row],[Load(p)]]*Table1[[#This Row],[c]]))/Table1[[#This Row],[l]]</f>
        <v>-5700</v>
      </c>
      <c r="H48" s="6">
        <f>(((2*Table1[[#This Row],[x]])-Table1[[#This Row],[l]])*(Table1[[#This Row],[Load(p)]]))/Table1[[#This Row],[l]]</f>
        <v>-200</v>
      </c>
      <c r="I48" s="6">
        <f>(Table1[[#This Row],[Load(p)]]*(Table1[[#This Row],[l]]-Table1[[#This Row],[x]]))/Table1[[#This Row],[l]]</f>
        <v>600</v>
      </c>
      <c r="J48" s="6">
        <f>(Table1[[#This Row],[Load(p)]]*Table1[[#This Row],[x]])/Table1[[#This Row],[l]]</f>
        <v>400</v>
      </c>
      <c r="K48" s="6">
        <f>Table1[[#This Row],[BM]]/Table1[[#This Row],[Z]]</f>
        <v>-3.04E-2</v>
      </c>
      <c r="L48" s="6">
        <f>Table1[[#This Row],[SF]]/Table1[[#This Row],[bd]]</f>
        <v>-2.6666666666666668E-2</v>
      </c>
      <c r="M48" s="8">
        <f t="shared" si="6"/>
        <v>-0.29512713870846624</v>
      </c>
      <c r="N48" s="8">
        <f>(Table1[[#This Row],[Shear Stress]])*SQRT(PI()*Table1[[#This Row],[a]])</f>
        <v>-0.25888345500742654</v>
      </c>
      <c r="O48" s="8">
        <f t="shared" si="7"/>
        <v>0.54158875884096813</v>
      </c>
      <c r="P48" s="6">
        <v>50</v>
      </c>
      <c r="Q48" s="6">
        <v>150</v>
      </c>
      <c r="R48" s="6">
        <f>(Table1[[#This Row],[b]]*(Table1[[#This Row],[d]]^2))/6</f>
        <v>187500</v>
      </c>
      <c r="S48" s="6">
        <f>Table1[[#This Row],[b]]*Table1[[#This Row],[d]]</f>
        <v>7500</v>
      </c>
      <c r="T48" s="6">
        <v>1000</v>
      </c>
    </row>
    <row r="49" spans="1:20" x14ac:dyDescent="0.25">
      <c r="A49" s="6">
        <v>500</v>
      </c>
      <c r="B49" s="6">
        <v>200</v>
      </c>
      <c r="C49" s="6">
        <v>29</v>
      </c>
      <c r="D49" s="6">
        <v>30</v>
      </c>
      <c r="E49" s="6">
        <f>(Table1[[#This Row],[Load(p)]]*Table1[[#This Row],[x]])/Table1[[#This Row],[l]]</f>
        <v>400</v>
      </c>
      <c r="F49" s="6">
        <f>(Table1[[#This Row],[Load(p)]]*(Table1[[#This Row],[l]]-Table1[[#This Row],[x]])/Table1[[#This Row],[l]])</f>
        <v>600</v>
      </c>
      <c r="G49" s="6">
        <f>(((2*Table1[[#This Row],[x]])-Table1[[#This Row],[l]])*(Table1[[#This Row],[Load(p)]]*Table1[[#This Row],[c]]))/Table1[[#This Row],[l]]</f>
        <v>-5800</v>
      </c>
      <c r="H49" s="6">
        <f>(((2*Table1[[#This Row],[x]])-Table1[[#This Row],[l]])*(Table1[[#This Row],[Load(p)]]))/Table1[[#This Row],[l]]</f>
        <v>-200</v>
      </c>
      <c r="I49" s="6">
        <f>(Table1[[#This Row],[Load(p)]]*(Table1[[#This Row],[l]]-Table1[[#This Row],[x]]))/Table1[[#This Row],[l]]</f>
        <v>600</v>
      </c>
      <c r="J49" s="6">
        <f>(Table1[[#This Row],[Load(p)]]*Table1[[#This Row],[x]])/Table1[[#This Row],[l]]</f>
        <v>400</v>
      </c>
      <c r="K49" s="6">
        <f>Table1[[#This Row],[BM]]/Table1[[#This Row],[Z]]</f>
        <v>-3.0933333333333334E-2</v>
      </c>
      <c r="L49" s="6">
        <f>Table1[[#This Row],[SF]]/Table1[[#This Row],[bd]]</f>
        <v>-2.6666666666666668E-2</v>
      </c>
      <c r="M49" s="8">
        <f t="shared" si="6"/>
        <v>-0.30030480780861479</v>
      </c>
      <c r="N49" s="8">
        <f>(Table1[[#This Row],[Shear Stress]])*SQRT(PI()*Table1[[#This Row],[a]])</f>
        <v>-0.25888345500742654</v>
      </c>
      <c r="O49" s="8">
        <f t="shared" si="7"/>
        <v>0.54707105332287598</v>
      </c>
      <c r="P49" s="6">
        <v>50</v>
      </c>
      <c r="Q49" s="6">
        <v>150</v>
      </c>
      <c r="R49" s="6">
        <f>(Table1[[#This Row],[b]]*(Table1[[#This Row],[d]]^2))/6</f>
        <v>187500</v>
      </c>
      <c r="S49" s="6">
        <f>Table1[[#This Row],[b]]*Table1[[#This Row],[d]]</f>
        <v>7500</v>
      </c>
      <c r="T49" s="6">
        <v>1000</v>
      </c>
    </row>
    <row r="50" spans="1:20" x14ac:dyDescent="0.25">
      <c r="A50" s="6">
        <v>500</v>
      </c>
      <c r="B50" s="6">
        <v>200</v>
      </c>
      <c r="C50" s="6">
        <v>29.5</v>
      </c>
      <c r="D50" s="6">
        <v>30</v>
      </c>
      <c r="E50" s="6">
        <f>(Table1[[#This Row],[Load(p)]]*Table1[[#This Row],[x]])/Table1[[#This Row],[l]]</f>
        <v>400</v>
      </c>
      <c r="F50" s="6">
        <f>(Table1[[#This Row],[Load(p)]]*(Table1[[#This Row],[l]]-Table1[[#This Row],[x]])/Table1[[#This Row],[l]])</f>
        <v>600</v>
      </c>
      <c r="G50" s="6">
        <f>(((2*Table1[[#This Row],[x]])-Table1[[#This Row],[l]])*(Table1[[#This Row],[Load(p)]]*Table1[[#This Row],[c]]))/Table1[[#This Row],[l]]</f>
        <v>-5900</v>
      </c>
      <c r="H50" s="6">
        <f>(((2*Table1[[#This Row],[x]])-Table1[[#This Row],[l]])*(Table1[[#This Row],[Load(p)]]))/Table1[[#This Row],[l]]</f>
        <v>-200</v>
      </c>
      <c r="I50" s="6">
        <f>(Table1[[#This Row],[Load(p)]]*(Table1[[#This Row],[l]]-Table1[[#This Row],[x]]))/Table1[[#This Row],[l]]</f>
        <v>600</v>
      </c>
      <c r="J50" s="6">
        <f>(Table1[[#This Row],[Load(p)]]*Table1[[#This Row],[x]])/Table1[[#This Row],[l]]</f>
        <v>400</v>
      </c>
      <c r="K50" s="6">
        <f>Table1[[#This Row],[BM]]/Table1[[#This Row],[Z]]</f>
        <v>-3.1466666666666664E-2</v>
      </c>
      <c r="L50" s="6">
        <f>Table1[[#This Row],[SF]]/Table1[[#This Row],[bd]]</f>
        <v>-2.6666666666666668E-2</v>
      </c>
      <c r="M50" s="8">
        <f t="shared" si="6"/>
        <v>-0.30548247690876329</v>
      </c>
      <c r="N50" s="8">
        <f>(Table1[[#This Row],[Shear Stress]])*SQRT(PI()*Table1[[#This Row],[a]])</f>
        <v>-0.25888345500742654</v>
      </c>
      <c r="O50" s="8">
        <f t="shared" si="7"/>
        <v>0.552445965900484</v>
      </c>
      <c r="P50" s="6">
        <v>50</v>
      </c>
      <c r="Q50" s="6">
        <v>150</v>
      </c>
      <c r="R50" s="6">
        <f>(Table1[[#This Row],[b]]*(Table1[[#This Row],[d]]^2))/6</f>
        <v>187500</v>
      </c>
      <c r="S50" s="6">
        <f>Table1[[#This Row],[b]]*Table1[[#This Row],[d]]</f>
        <v>7500</v>
      </c>
      <c r="T50" s="6">
        <v>1000</v>
      </c>
    </row>
    <row r="51" spans="1:20" x14ac:dyDescent="0.25">
      <c r="A51" s="6">
        <v>500</v>
      </c>
      <c r="B51" s="6">
        <v>200</v>
      </c>
      <c r="C51" s="6">
        <v>30</v>
      </c>
      <c r="D51" s="6">
        <v>30</v>
      </c>
      <c r="E51" s="6">
        <f>(Table1[[#This Row],[Load(p)]]*Table1[[#This Row],[x]])/Table1[[#This Row],[l]]</f>
        <v>400</v>
      </c>
      <c r="F51" s="6">
        <f>(Table1[[#This Row],[Load(p)]]*(Table1[[#This Row],[l]]-Table1[[#This Row],[x]])/Table1[[#This Row],[l]])</f>
        <v>600</v>
      </c>
      <c r="G51" s="6">
        <f>(((2*Table1[[#This Row],[x]])-Table1[[#This Row],[l]])*(Table1[[#This Row],[Load(p)]]*Table1[[#This Row],[c]]))/Table1[[#This Row],[l]]</f>
        <v>-6000</v>
      </c>
      <c r="H51" s="6">
        <f>(((2*Table1[[#This Row],[x]])-Table1[[#This Row],[l]])*(Table1[[#This Row],[Load(p)]]))/Table1[[#This Row],[l]]</f>
        <v>-200</v>
      </c>
      <c r="I51" s="6">
        <f>(Table1[[#This Row],[Load(p)]]*(Table1[[#This Row],[l]]-Table1[[#This Row],[x]]))/Table1[[#This Row],[l]]</f>
        <v>600</v>
      </c>
      <c r="J51" s="6">
        <f>(Table1[[#This Row],[Load(p)]]*Table1[[#This Row],[x]])/Table1[[#This Row],[l]]</f>
        <v>400</v>
      </c>
      <c r="K51" s="6">
        <f>Table1[[#This Row],[BM]]/Table1[[#This Row],[Z]]</f>
        <v>-3.2000000000000001E-2</v>
      </c>
      <c r="L51" s="6">
        <f>Table1[[#This Row],[SF]]/Table1[[#This Row],[bd]]</f>
        <v>-2.6666666666666668E-2</v>
      </c>
      <c r="M51" s="8">
        <f t="shared" si="6"/>
        <v>-0.31066014600891184</v>
      </c>
      <c r="N51" s="8">
        <f>(Table1[[#This Row],[Shear Stress]])*SQRT(PI()*Table1[[#This Row],[a]])</f>
        <v>-0.25888345500742654</v>
      </c>
      <c r="O51" s="8">
        <f t="shared" si="7"/>
        <v>0.55771587675260903</v>
      </c>
      <c r="P51" s="6">
        <v>50</v>
      </c>
      <c r="Q51" s="6">
        <v>150</v>
      </c>
      <c r="R51" s="6">
        <f>(Table1[[#This Row],[b]]*(Table1[[#This Row],[d]]^2))/6</f>
        <v>187500</v>
      </c>
      <c r="S51" s="6">
        <f>Table1[[#This Row],[b]]*Table1[[#This Row],[d]]</f>
        <v>7500</v>
      </c>
      <c r="T51" s="6">
        <v>1000</v>
      </c>
    </row>
    <row r="52" spans="1:20" x14ac:dyDescent="0.25">
      <c r="A52" s="6">
        <v>500</v>
      </c>
      <c r="B52" s="6">
        <v>200</v>
      </c>
      <c r="C52" s="6">
        <v>30.5</v>
      </c>
      <c r="D52" s="6">
        <v>30</v>
      </c>
      <c r="E52" s="6">
        <f>(Table1[[#This Row],[Load(p)]]*Table1[[#This Row],[x]])/Table1[[#This Row],[l]]</f>
        <v>400</v>
      </c>
      <c r="F52" s="6">
        <f>(Table1[[#This Row],[Load(p)]]*(Table1[[#This Row],[l]]-Table1[[#This Row],[x]])/Table1[[#This Row],[l]])</f>
        <v>600</v>
      </c>
      <c r="G52" s="6">
        <f>(((2*Table1[[#This Row],[x]])-Table1[[#This Row],[l]])*(Table1[[#This Row],[Load(p)]]*Table1[[#This Row],[c]]))/Table1[[#This Row],[l]]</f>
        <v>-6100</v>
      </c>
      <c r="H52" s="6">
        <f>(((2*Table1[[#This Row],[x]])-Table1[[#This Row],[l]])*(Table1[[#This Row],[Load(p)]]))/Table1[[#This Row],[l]]</f>
        <v>-200</v>
      </c>
      <c r="I52" s="6">
        <f>(Table1[[#This Row],[Load(p)]]*(Table1[[#This Row],[l]]-Table1[[#This Row],[x]]))/Table1[[#This Row],[l]]</f>
        <v>600</v>
      </c>
      <c r="J52" s="6">
        <f>(Table1[[#This Row],[Load(p)]]*Table1[[#This Row],[x]])/Table1[[#This Row],[l]]</f>
        <v>400</v>
      </c>
      <c r="K52" s="6">
        <f>Table1[[#This Row],[BM]]/Table1[[#This Row],[Z]]</f>
        <v>-3.2533333333333331E-2</v>
      </c>
      <c r="L52" s="6">
        <f>Table1[[#This Row],[SF]]/Table1[[#This Row],[bd]]</f>
        <v>-2.6666666666666668E-2</v>
      </c>
      <c r="M52" s="8">
        <f t="shared" si="6"/>
        <v>-0.31583781510906034</v>
      </c>
      <c r="N52" s="8">
        <f>(Table1[[#This Row],[Shear Stress]])*SQRT(PI()*Table1[[#This Row],[a]])</f>
        <v>-0.25888345500742654</v>
      </c>
      <c r="O52" s="8">
        <f t="shared" si="7"/>
        <v>0.56288313155736081</v>
      </c>
      <c r="P52" s="6">
        <v>50</v>
      </c>
      <c r="Q52" s="6">
        <v>150</v>
      </c>
      <c r="R52" s="6">
        <f>(Table1[[#This Row],[b]]*(Table1[[#This Row],[d]]^2))/6</f>
        <v>187500</v>
      </c>
      <c r="S52" s="6">
        <f>Table1[[#This Row],[b]]*Table1[[#This Row],[d]]</f>
        <v>7500</v>
      </c>
      <c r="T52" s="6">
        <v>1000</v>
      </c>
    </row>
    <row r="53" spans="1:20" x14ac:dyDescent="0.25">
      <c r="A53" s="6">
        <v>500</v>
      </c>
      <c r="B53" s="6">
        <v>200</v>
      </c>
      <c r="C53" s="6">
        <v>31</v>
      </c>
      <c r="D53" s="6">
        <v>30</v>
      </c>
      <c r="E53" s="6">
        <f>(Table1[[#This Row],[Load(p)]]*Table1[[#This Row],[x]])/Table1[[#This Row],[l]]</f>
        <v>400</v>
      </c>
      <c r="F53" s="6">
        <f>(Table1[[#This Row],[Load(p)]]*(Table1[[#This Row],[l]]-Table1[[#This Row],[x]])/Table1[[#This Row],[l]])</f>
        <v>600</v>
      </c>
      <c r="G53" s="6">
        <f>(((2*Table1[[#This Row],[x]])-Table1[[#This Row],[l]])*(Table1[[#This Row],[Load(p)]]*Table1[[#This Row],[c]]))/Table1[[#This Row],[l]]</f>
        <v>-6200</v>
      </c>
      <c r="H53" s="6">
        <f>(((2*Table1[[#This Row],[x]])-Table1[[#This Row],[l]])*(Table1[[#This Row],[Load(p)]]))/Table1[[#This Row],[l]]</f>
        <v>-200</v>
      </c>
      <c r="I53" s="6">
        <f>(Table1[[#This Row],[Load(p)]]*(Table1[[#This Row],[l]]-Table1[[#This Row],[x]]))/Table1[[#This Row],[l]]</f>
        <v>600</v>
      </c>
      <c r="J53" s="6">
        <f>(Table1[[#This Row],[Load(p)]]*Table1[[#This Row],[x]])/Table1[[#This Row],[l]]</f>
        <v>400</v>
      </c>
      <c r="K53" s="6">
        <f>Table1[[#This Row],[BM]]/Table1[[#This Row],[Z]]</f>
        <v>-3.3066666666666668E-2</v>
      </c>
      <c r="L53" s="6">
        <f>Table1[[#This Row],[SF]]/Table1[[#This Row],[bd]]</f>
        <v>-2.6666666666666668E-2</v>
      </c>
      <c r="M53" s="8">
        <f t="shared" si="6"/>
        <v>-0.32101548420920895</v>
      </c>
      <c r="N53" s="8">
        <f>(Table1[[#This Row],[Shear Stress]])*SQRT(PI()*Table1[[#This Row],[a]])</f>
        <v>-0.25888345500742654</v>
      </c>
      <c r="O53" s="8">
        <f t="shared" si="7"/>
        <v>0.56795003962539348</v>
      </c>
      <c r="P53" s="6">
        <v>50</v>
      </c>
      <c r="Q53" s="6">
        <v>150</v>
      </c>
      <c r="R53" s="6">
        <f>(Table1[[#This Row],[b]]*(Table1[[#This Row],[d]]^2))/6</f>
        <v>187500</v>
      </c>
      <c r="S53" s="6">
        <f>Table1[[#This Row],[b]]*Table1[[#This Row],[d]]</f>
        <v>7500</v>
      </c>
      <c r="T53" s="6">
        <v>1000</v>
      </c>
    </row>
    <row r="54" spans="1:20" x14ac:dyDescent="0.25">
      <c r="A54" s="6">
        <v>500</v>
      </c>
      <c r="B54" s="6">
        <v>200</v>
      </c>
      <c r="C54" s="6">
        <v>31.5</v>
      </c>
      <c r="D54" s="6">
        <v>30</v>
      </c>
      <c r="E54" s="6">
        <f>(Table1[[#This Row],[Load(p)]]*Table1[[#This Row],[x]])/Table1[[#This Row],[l]]</f>
        <v>400</v>
      </c>
      <c r="F54" s="6">
        <f>(Table1[[#This Row],[Load(p)]]*(Table1[[#This Row],[l]]-Table1[[#This Row],[x]])/Table1[[#This Row],[l]])</f>
        <v>600</v>
      </c>
      <c r="G54" s="6">
        <f>(((2*Table1[[#This Row],[x]])-Table1[[#This Row],[l]])*(Table1[[#This Row],[Load(p)]]*Table1[[#This Row],[c]]))/Table1[[#This Row],[l]]</f>
        <v>-6300</v>
      </c>
      <c r="H54" s="6">
        <f>(((2*Table1[[#This Row],[x]])-Table1[[#This Row],[l]])*(Table1[[#This Row],[Load(p)]]))/Table1[[#This Row],[l]]</f>
        <v>-200</v>
      </c>
      <c r="I54" s="6">
        <f>(Table1[[#This Row],[Load(p)]]*(Table1[[#This Row],[l]]-Table1[[#This Row],[x]]))/Table1[[#This Row],[l]]</f>
        <v>600</v>
      </c>
      <c r="J54" s="6">
        <f>(Table1[[#This Row],[Load(p)]]*Table1[[#This Row],[x]])/Table1[[#This Row],[l]]</f>
        <v>400</v>
      </c>
      <c r="K54" s="6">
        <f>Table1[[#This Row],[BM]]/Table1[[#This Row],[Z]]</f>
        <v>-3.3599999999999998E-2</v>
      </c>
      <c r="L54" s="6">
        <f>Table1[[#This Row],[SF]]/Table1[[#This Row],[bd]]</f>
        <v>-2.6666666666666668E-2</v>
      </c>
      <c r="M54" s="8">
        <f t="shared" si="6"/>
        <v>-0.32619315330935744</v>
      </c>
      <c r="N54" s="8">
        <f>(Table1[[#This Row],[Shear Stress]])*SQRT(PI()*Table1[[#This Row],[a]])</f>
        <v>-0.25888345500742654</v>
      </c>
      <c r="O54" s="8">
        <f t="shared" si="7"/>
        <v>0.57291887232152738</v>
      </c>
      <c r="P54" s="6">
        <v>50</v>
      </c>
      <c r="Q54" s="6">
        <v>150</v>
      </c>
      <c r="R54" s="6">
        <f>(Table1[[#This Row],[b]]*(Table1[[#This Row],[d]]^2))/6</f>
        <v>187500</v>
      </c>
      <c r="S54" s="6">
        <f>Table1[[#This Row],[b]]*Table1[[#This Row],[d]]</f>
        <v>7500</v>
      </c>
      <c r="T54" s="6">
        <v>1000</v>
      </c>
    </row>
    <row r="55" spans="1:20" x14ac:dyDescent="0.25">
      <c r="A55" s="6">
        <v>500</v>
      </c>
      <c r="B55" s="6">
        <v>200</v>
      </c>
      <c r="C55" s="6">
        <v>32</v>
      </c>
      <c r="D55" s="6">
        <v>30</v>
      </c>
      <c r="E55" s="6">
        <f>(Table1[[#This Row],[Load(p)]]*Table1[[#This Row],[x]])/Table1[[#This Row],[l]]</f>
        <v>400</v>
      </c>
      <c r="F55" s="6">
        <f>(Table1[[#This Row],[Load(p)]]*(Table1[[#This Row],[l]]-Table1[[#This Row],[x]])/Table1[[#This Row],[l]])</f>
        <v>600</v>
      </c>
      <c r="G55" s="6">
        <f>(((2*Table1[[#This Row],[x]])-Table1[[#This Row],[l]])*(Table1[[#This Row],[Load(p)]]*Table1[[#This Row],[c]]))/Table1[[#This Row],[l]]</f>
        <v>-6400</v>
      </c>
      <c r="H55" s="6">
        <f>(((2*Table1[[#This Row],[x]])-Table1[[#This Row],[l]])*(Table1[[#This Row],[Load(p)]]))/Table1[[#This Row],[l]]</f>
        <v>-200</v>
      </c>
      <c r="I55" s="6">
        <f>(Table1[[#This Row],[Load(p)]]*(Table1[[#This Row],[l]]-Table1[[#This Row],[x]]))/Table1[[#This Row],[l]]</f>
        <v>600</v>
      </c>
      <c r="J55" s="6">
        <f>(Table1[[#This Row],[Load(p)]]*Table1[[#This Row],[x]])/Table1[[#This Row],[l]]</f>
        <v>400</v>
      </c>
      <c r="K55" s="6">
        <f>Table1[[#This Row],[BM]]/Table1[[#This Row],[Z]]</f>
        <v>-3.4133333333333335E-2</v>
      </c>
      <c r="L55" s="6">
        <f>Table1[[#This Row],[SF]]/Table1[[#This Row],[bd]]</f>
        <v>-2.6666666666666668E-2</v>
      </c>
      <c r="M55" s="8">
        <f t="shared" si="6"/>
        <v>-0.33137082240950599</v>
      </c>
      <c r="N55" s="8">
        <f>(Table1[[#This Row],[Shear Stress]])*SQRT(PI()*Table1[[#This Row],[a]])</f>
        <v>-0.25888345500742654</v>
      </c>
      <c r="O55" s="8">
        <f t="shared" si="7"/>
        <v>0.57779186174994823</v>
      </c>
      <c r="P55" s="6">
        <v>50</v>
      </c>
      <c r="Q55" s="6">
        <v>150</v>
      </c>
      <c r="R55" s="6">
        <f>(Table1[[#This Row],[b]]*(Table1[[#This Row],[d]]^2))/6</f>
        <v>187500</v>
      </c>
      <c r="S55" s="6">
        <f>Table1[[#This Row],[b]]*Table1[[#This Row],[d]]</f>
        <v>7500</v>
      </c>
      <c r="T55" s="6">
        <v>1000</v>
      </c>
    </row>
    <row r="56" spans="1:20" x14ac:dyDescent="0.25">
      <c r="A56" s="6">
        <v>500</v>
      </c>
      <c r="B56" s="6">
        <v>200</v>
      </c>
      <c r="C56" s="6">
        <v>32.5</v>
      </c>
      <c r="D56" s="6">
        <v>30</v>
      </c>
      <c r="E56" s="6">
        <f>(Table1[[#This Row],[Load(p)]]*Table1[[#This Row],[x]])/Table1[[#This Row],[l]]</f>
        <v>400</v>
      </c>
      <c r="F56" s="6">
        <f>(Table1[[#This Row],[Load(p)]]*(Table1[[#This Row],[l]]-Table1[[#This Row],[x]])/Table1[[#This Row],[l]])</f>
        <v>600</v>
      </c>
      <c r="G56" s="6">
        <f>(((2*Table1[[#This Row],[x]])-Table1[[#This Row],[l]])*(Table1[[#This Row],[Load(p)]]*Table1[[#This Row],[c]]))/Table1[[#This Row],[l]]</f>
        <v>-6500</v>
      </c>
      <c r="H56" s="6">
        <f>(((2*Table1[[#This Row],[x]])-Table1[[#This Row],[l]])*(Table1[[#This Row],[Load(p)]]))/Table1[[#This Row],[l]]</f>
        <v>-200</v>
      </c>
      <c r="I56" s="6">
        <f>(Table1[[#This Row],[Load(p)]]*(Table1[[#This Row],[l]]-Table1[[#This Row],[x]]))/Table1[[#This Row],[l]]</f>
        <v>600</v>
      </c>
      <c r="J56" s="6">
        <f>(Table1[[#This Row],[Load(p)]]*Table1[[#This Row],[x]])/Table1[[#This Row],[l]]</f>
        <v>400</v>
      </c>
      <c r="K56" s="6">
        <f>Table1[[#This Row],[BM]]/Table1[[#This Row],[Z]]</f>
        <v>-3.4666666666666665E-2</v>
      </c>
      <c r="L56" s="6">
        <f>Table1[[#This Row],[SF]]/Table1[[#This Row],[bd]]</f>
        <v>-2.6666666666666668E-2</v>
      </c>
      <c r="M56" s="8">
        <f t="shared" si="6"/>
        <v>-0.33654849150965449</v>
      </c>
      <c r="N56" s="8">
        <f>(Table1[[#This Row],[Shear Stress]])*SQRT(PI()*Table1[[#This Row],[a]])</f>
        <v>-0.25888345500742654</v>
      </c>
      <c r="O56" s="8">
        <f t="shared" si="7"/>
        <v>0.58257119967969462</v>
      </c>
      <c r="P56" s="6">
        <v>50</v>
      </c>
      <c r="Q56" s="6">
        <v>150</v>
      </c>
      <c r="R56" s="6">
        <f>(Table1[[#This Row],[b]]*(Table1[[#This Row],[d]]^2))/6</f>
        <v>187500</v>
      </c>
      <c r="S56" s="6">
        <f>Table1[[#This Row],[b]]*Table1[[#This Row],[d]]</f>
        <v>7500</v>
      </c>
      <c r="T56" s="6">
        <v>1000</v>
      </c>
    </row>
    <row r="57" spans="1:20" x14ac:dyDescent="0.25">
      <c r="A57" s="6">
        <v>500</v>
      </c>
      <c r="B57" s="6">
        <v>200</v>
      </c>
      <c r="C57" s="6">
        <v>33</v>
      </c>
      <c r="D57" s="6">
        <v>30</v>
      </c>
      <c r="E57" s="6">
        <f>(Table1[[#This Row],[Load(p)]]*Table1[[#This Row],[x]])/Table1[[#This Row],[l]]</f>
        <v>400</v>
      </c>
      <c r="F57" s="6">
        <f>(Table1[[#This Row],[Load(p)]]*(Table1[[#This Row],[l]]-Table1[[#This Row],[x]])/Table1[[#This Row],[l]])</f>
        <v>600</v>
      </c>
      <c r="G57" s="6">
        <f>(((2*Table1[[#This Row],[x]])-Table1[[#This Row],[l]])*(Table1[[#This Row],[Load(p)]]*Table1[[#This Row],[c]]))/Table1[[#This Row],[l]]</f>
        <v>-6600</v>
      </c>
      <c r="H57" s="6">
        <f>(((2*Table1[[#This Row],[x]])-Table1[[#This Row],[l]])*(Table1[[#This Row],[Load(p)]]))/Table1[[#This Row],[l]]</f>
        <v>-200</v>
      </c>
      <c r="I57" s="6">
        <f>(Table1[[#This Row],[Load(p)]]*(Table1[[#This Row],[l]]-Table1[[#This Row],[x]]))/Table1[[#This Row],[l]]</f>
        <v>600</v>
      </c>
      <c r="J57" s="6">
        <f>(Table1[[#This Row],[Load(p)]]*Table1[[#This Row],[x]])/Table1[[#This Row],[l]]</f>
        <v>400</v>
      </c>
      <c r="K57" s="6">
        <f>Table1[[#This Row],[BM]]/Table1[[#This Row],[Z]]</f>
        <v>-3.5200000000000002E-2</v>
      </c>
      <c r="L57" s="6">
        <f>Table1[[#This Row],[SF]]/Table1[[#This Row],[bd]]</f>
        <v>-2.6666666666666668E-2</v>
      </c>
      <c r="M57" s="8">
        <f t="shared" si="6"/>
        <v>-0.34172616060980304</v>
      </c>
      <c r="N57" s="8">
        <f>(Table1[[#This Row],[Shear Stress]])*SQRT(PI()*Table1[[#This Row],[a]])</f>
        <v>-0.25888345500742654</v>
      </c>
      <c r="O57" s="8">
        <f t="shared" si="7"/>
        <v>0.58725903668864687</v>
      </c>
      <c r="P57" s="6">
        <v>50</v>
      </c>
      <c r="Q57" s="6">
        <v>150</v>
      </c>
      <c r="R57" s="6">
        <f>(Table1[[#This Row],[b]]*(Table1[[#This Row],[d]]^2))/6</f>
        <v>187500</v>
      </c>
      <c r="S57" s="6">
        <f>Table1[[#This Row],[b]]*Table1[[#This Row],[d]]</f>
        <v>7500</v>
      </c>
      <c r="T57" s="6">
        <v>1000</v>
      </c>
    </row>
    <row r="58" spans="1:20" x14ac:dyDescent="0.25">
      <c r="A58" s="6">
        <v>500</v>
      </c>
      <c r="B58" s="6">
        <v>200</v>
      </c>
      <c r="C58" s="6">
        <v>33.5</v>
      </c>
      <c r="D58" s="6">
        <v>30</v>
      </c>
      <c r="E58" s="6">
        <f>(Table1[[#This Row],[Load(p)]]*Table1[[#This Row],[x]])/Table1[[#This Row],[l]]</f>
        <v>400</v>
      </c>
      <c r="F58" s="6">
        <f>(Table1[[#This Row],[Load(p)]]*(Table1[[#This Row],[l]]-Table1[[#This Row],[x]])/Table1[[#This Row],[l]])</f>
        <v>600</v>
      </c>
      <c r="G58" s="6">
        <f>(((2*Table1[[#This Row],[x]])-Table1[[#This Row],[l]])*(Table1[[#This Row],[Load(p)]]*Table1[[#This Row],[c]]))/Table1[[#This Row],[l]]</f>
        <v>-6700</v>
      </c>
      <c r="H58" s="6">
        <f>(((2*Table1[[#This Row],[x]])-Table1[[#This Row],[l]])*(Table1[[#This Row],[Load(p)]]))/Table1[[#This Row],[l]]</f>
        <v>-200</v>
      </c>
      <c r="I58" s="6">
        <f>(Table1[[#This Row],[Load(p)]]*(Table1[[#This Row],[l]]-Table1[[#This Row],[x]]))/Table1[[#This Row],[l]]</f>
        <v>600</v>
      </c>
      <c r="J58" s="6">
        <f>(Table1[[#This Row],[Load(p)]]*Table1[[#This Row],[x]])/Table1[[#This Row],[l]]</f>
        <v>400</v>
      </c>
      <c r="K58" s="6">
        <f>Table1[[#This Row],[BM]]/Table1[[#This Row],[Z]]</f>
        <v>-3.5733333333333332E-2</v>
      </c>
      <c r="L58" s="6">
        <f>Table1[[#This Row],[SF]]/Table1[[#This Row],[bd]]</f>
        <v>-2.6666666666666668E-2</v>
      </c>
      <c r="M58" s="8">
        <f t="shared" si="6"/>
        <v>-0.34690382970995154</v>
      </c>
      <c r="N58" s="8">
        <f>(Table1[[#This Row],[Shear Stress]])*SQRT(PI()*Table1[[#This Row],[a]])</f>
        <v>-0.25888345500742654</v>
      </c>
      <c r="O58" s="8">
        <f t="shared" si="7"/>
        <v>0.59185748150567374</v>
      </c>
      <c r="P58" s="6">
        <v>50</v>
      </c>
      <c r="Q58" s="6">
        <v>150</v>
      </c>
      <c r="R58" s="6">
        <f>(Table1[[#This Row],[b]]*(Table1[[#This Row],[d]]^2))/6</f>
        <v>187500</v>
      </c>
      <c r="S58" s="6">
        <f>Table1[[#This Row],[b]]*Table1[[#This Row],[d]]</f>
        <v>7500</v>
      </c>
      <c r="T58" s="6">
        <v>1000</v>
      </c>
    </row>
    <row r="59" spans="1:20" x14ac:dyDescent="0.25">
      <c r="A59" s="6">
        <v>500</v>
      </c>
      <c r="B59" s="6">
        <v>200</v>
      </c>
      <c r="C59" s="6">
        <v>34</v>
      </c>
      <c r="D59" s="6">
        <v>30</v>
      </c>
      <c r="E59" s="6">
        <f>(Table1[[#This Row],[Load(p)]]*Table1[[#This Row],[x]])/Table1[[#This Row],[l]]</f>
        <v>400</v>
      </c>
      <c r="F59" s="6">
        <f>(Table1[[#This Row],[Load(p)]]*(Table1[[#This Row],[l]]-Table1[[#This Row],[x]])/Table1[[#This Row],[l]])</f>
        <v>600</v>
      </c>
      <c r="G59" s="6">
        <f>(((2*Table1[[#This Row],[x]])-Table1[[#This Row],[l]])*(Table1[[#This Row],[Load(p)]]*Table1[[#This Row],[c]]))/Table1[[#This Row],[l]]</f>
        <v>-6800</v>
      </c>
      <c r="H59" s="6">
        <f>(((2*Table1[[#This Row],[x]])-Table1[[#This Row],[l]])*(Table1[[#This Row],[Load(p)]]))/Table1[[#This Row],[l]]</f>
        <v>-200</v>
      </c>
      <c r="I59" s="6">
        <f>(Table1[[#This Row],[Load(p)]]*(Table1[[#This Row],[l]]-Table1[[#This Row],[x]]))/Table1[[#This Row],[l]]</f>
        <v>600</v>
      </c>
      <c r="J59" s="6">
        <f>(Table1[[#This Row],[Load(p)]]*Table1[[#This Row],[x]])/Table1[[#This Row],[l]]</f>
        <v>400</v>
      </c>
      <c r="K59" s="6">
        <f>Table1[[#This Row],[BM]]/Table1[[#This Row],[Z]]</f>
        <v>-3.6266666666666669E-2</v>
      </c>
      <c r="L59" s="6">
        <f>Table1[[#This Row],[SF]]/Table1[[#This Row],[bd]]</f>
        <v>-2.6666666666666668E-2</v>
      </c>
      <c r="M59" s="8">
        <f t="shared" ref="M59:M63" si="8">(K59)*SQRT(PI()*D59)</f>
        <v>-0.35208149881010015</v>
      </c>
      <c r="N59" s="8">
        <f>(Table1[[#This Row],[Shear Stress]])*SQRT(PI()*Table1[[#This Row],[a]])</f>
        <v>-0.25888345500742654</v>
      </c>
      <c r="O59" s="8">
        <f t="shared" ref="O59:O63" si="9">(2/PI())*(ATAN((M59/N59)))</f>
        <v>0.59636860053199747</v>
      </c>
      <c r="P59" s="6">
        <v>50</v>
      </c>
      <c r="Q59" s="6">
        <v>150</v>
      </c>
      <c r="R59" s="6">
        <f>(Table1[[#This Row],[b]]*(Table1[[#This Row],[d]]^2))/6</f>
        <v>187500</v>
      </c>
      <c r="S59" s="6">
        <f>Table1[[#This Row],[b]]*Table1[[#This Row],[d]]</f>
        <v>7500</v>
      </c>
      <c r="T59" s="6">
        <v>1000</v>
      </c>
    </row>
    <row r="60" spans="1:20" x14ac:dyDescent="0.25">
      <c r="A60" s="6">
        <v>500</v>
      </c>
      <c r="B60" s="6">
        <v>200</v>
      </c>
      <c r="C60" s="6">
        <v>34.5</v>
      </c>
      <c r="D60" s="6">
        <v>30</v>
      </c>
      <c r="E60" s="6">
        <f>(Table1[[#This Row],[Load(p)]]*Table1[[#This Row],[x]])/Table1[[#This Row],[l]]</f>
        <v>400</v>
      </c>
      <c r="F60" s="6">
        <f>(Table1[[#This Row],[Load(p)]]*(Table1[[#This Row],[l]]-Table1[[#This Row],[x]])/Table1[[#This Row],[l]])</f>
        <v>600</v>
      </c>
      <c r="G60" s="6">
        <f>(((2*Table1[[#This Row],[x]])-Table1[[#This Row],[l]])*(Table1[[#This Row],[Load(p)]]*Table1[[#This Row],[c]]))/Table1[[#This Row],[l]]</f>
        <v>-6900</v>
      </c>
      <c r="H60" s="6">
        <f>(((2*Table1[[#This Row],[x]])-Table1[[#This Row],[l]])*(Table1[[#This Row],[Load(p)]]))/Table1[[#This Row],[l]]</f>
        <v>-200</v>
      </c>
      <c r="I60" s="6">
        <f>(Table1[[#This Row],[Load(p)]]*(Table1[[#This Row],[l]]-Table1[[#This Row],[x]]))/Table1[[#This Row],[l]]</f>
        <v>600</v>
      </c>
      <c r="J60" s="6">
        <f>(Table1[[#This Row],[Load(p)]]*Table1[[#This Row],[x]])/Table1[[#This Row],[l]]</f>
        <v>400</v>
      </c>
      <c r="K60" s="6">
        <f>Table1[[#This Row],[BM]]/Table1[[#This Row],[Z]]</f>
        <v>-3.6799999999999999E-2</v>
      </c>
      <c r="L60" s="6">
        <f>Table1[[#This Row],[SF]]/Table1[[#This Row],[bd]]</f>
        <v>-2.6666666666666668E-2</v>
      </c>
      <c r="M60" s="8">
        <f t="shared" si="8"/>
        <v>-0.35725916791024864</v>
      </c>
      <c r="N60" s="8">
        <f>(Table1[[#This Row],[Shear Stress]])*SQRT(PI()*Table1[[#This Row],[a]])</f>
        <v>-0.25888345500742654</v>
      </c>
      <c r="O60" s="8">
        <f t="shared" si="9"/>
        <v>0.60079441752419083</v>
      </c>
      <c r="P60" s="6">
        <v>50</v>
      </c>
      <c r="Q60" s="6">
        <v>150</v>
      </c>
      <c r="R60" s="6">
        <f>(Table1[[#This Row],[b]]*(Table1[[#This Row],[d]]^2))/6</f>
        <v>187500</v>
      </c>
      <c r="S60" s="6">
        <f>Table1[[#This Row],[b]]*Table1[[#This Row],[d]]</f>
        <v>7500</v>
      </c>
      <c r="T60" s="6">
        <v>1000</v>
      </c>
    </row>
    <row r="61" spans="1:20" x14ac:dyDescent="0.25">
      <c r="A61" s="6">
        <v>500</v>
      </c>
      <c r="B61" s="6">
        <v>200</v>
      </c>
      <c r="C61" s="6">
        <v>35</v>
      </c>
      <c r="D61" s="6">
        <v>30</v>
      </c>
      <c r="E61" s="6">
        <f>(Table1[[#This Row],[Load(p)]]*Table1[[#This Row],[x]])/Table1[[#This Row],[l]]</f>
        <v>400</v>
      </c>
      <c r="F61" s="6">
        <f>(Table1[[#This Row],[Load(p)]]*(Table1[[#This Row],[l]]-Table1[[#This Row],[x]])/Table1[[#This Row],[l]])</f>
        <v>600</v>
      </c>
      <c r="G61" s="6">
        <f>(((2*Table1[[#This Row],[x]])-Table1[[#This Row],[l]])*(Table1[[#This Row],[Load(p)]]*Table1[[#This Row],[c]]))/Table1[[#This Row],[l]]</f>
        <v>-7000</v>
      </c>
      <c r="H61" s="6">
        <f>(((2*Table1[[#This Row],[x]])-Table1[[#This Row],[l]])*(Table1[[#This Row],[Load(p)]]))/Table1[[#This Row],[l]]</f>
        <v>-200</v>
      </c>
      <c r="I61" s="6">
        <f>(Table1[[#This Row],[Load(p)]]*(Table1[[#This Row],[l]]-Table1[[#This Row],[x]]))/Table1[[#This Row],[l]]</f>
        <v>600</v>
      </c>
      <c r="J61" s="6">
        <f>(Table1[[#This Row],[Load(p)]]*Table1[[#This Row],[x]])/Table1[[#This Row],[l]]</f>
        <v>400</v>
      </c>
      <c r="K61" s="6">
        <f>Table1[[#This Row],[BM]]/Table1[[#This Row],[Z]]</f>
        <v>-3.7333333333333336E-2</v>
      </c>
      <c r="L61" s="6">
        <f>Table1[[#This Row],[SF]]/Table1[[#This Row],[bd]]</f>
        <v>-2.6666666666666668E-2</v>
      </c>
      <c r="M61" s="8">
        <f t="shared" si="8"/>
        <v>-0.36243683701039719</v>
      </c>
      <c r="N61" s="8">
        <f>(Table1[[#This Row],[Shear Stress]])*SQRT(PI()*Table1[[#This Row],[a]])</f>
        <v>-0.25888345500742654</v>
      </c>
      <c r="O61" s="8">
        <f t="shared" si="9"/>
        <v>0.60513691342250697</v>
      </c>
      <c r="P61" s="6">
        <v>50</v>
      </c>
      <c r="Q61" s="6">
        <v>150</v>
      </c>
      <c r="R61" s="6">
        <f>(Table1[[#This Row],[b]]*(Table1[[#This Row],[d]]^2))/6</f>
        <v>187500</v>
      </c>
      <c r="S61" s="6">
        <f>Table1[[#This Row],[b]]*Table1[[#This Row],[d]]</f>
        <v>7500</v>
      </c>
      <c r="T61" s="6">
        <v>1000</v>
      </c>
    </row>
    <row r="62" spans="1:20" x14ac:dyDescent="0.25">
      <c r="A62" s="6">
        <v>500</v>
      </c>
      <c r="B62" s="6">
        <v>200</v>
      </c>
      <c r="C62" s="6">
        <v>35.5</v>
      </c>
      <c r="D62" s="6">
        <v>30</v>
      </c>
      <c r="E62" s="6">
        <f>(Table1[[#This Row],[Load(p)]]*Table1[[#This Row],[x]])/Table1[[#This Row],[l]]</f>
        <v>400</v>
      </c>
      <c r="F62" s="6">
        <f>(Table1[[#This Row],[Load(p)]]*(Table1[[#This Row],[l]]-Table1[[#This Row],[x]])/Table1[[#This Row],[l]])</f>
        <v>600</v>
      </c>
      <c r="G62" s="6">
        <f>(((2*Table1[[#This Row],[x]])-Table1[[#This Row],[l]])*(Table1[[#This Row],[Load(p)]]*Table1[[#This Row],[c]]))/Table1[[#This Row],[l]]</f>
        <v>-7100</v>
      </c>
      <c r="H62" s="6">
        <f>(((2*Table1[[#This Row],[x]])-Table1[[#This Row],[l]])*(Table1[[#This Row],[Load(p)]]))/Table1[[#This Row],[l]]</f>
        <v>-200</v>
      </c>
      <c r="I62" s="6">
        <f>(Table1[[#This Row],[Load(p)]]*(Table1[[#This Row],[l]]-Table1[[#This Row],[x]]))/Table1[[#This Row],[l]]</f>
        <v>600</v>
      </c>
      <c r="J62" s="6">
        <f>(Table1[[#This Row],[Load(p)]]*Table1[[#This Row],[x]])/Table1[[#This Row],[l]]</f>
        <v>400</v>
      </c>
      <c r="K62" s="6">
        <f>Table1[[#This Row],[BM]]/Table1[[#This Row],[Z]]</f>
        <v>-3.7866666666666667E-2</v>
      </c>
      <c r="L62" s="6">
        <f>Table1[[#This Row],[SF]]/Table1[[#This Row],[bd]]</f>
        <v>-2.6666666666666668E-2</v>
      </c>
      <c r="M62" s="8">
        <f t="shared" si="8"/>
        <v>-0.36761450611054569</v>
      </c>
      <c r="N62" s="8">
        <f>(Table1[[#This Row],[Shear Stress]])*SQRT(PI()*Table1[[#This Row],[a]])</f>
        <v>-0.25888345500742654</v>
      </c>
      <c r="O62" s="8">
        <f t="shared" si="9"/>
        <v>0.60939802630947304</v>
      </c>
      <c r="P62" s="6">
        <v>50</v>
      </c>
      <c r="Q62" s="6">
        <v>150</v>
      </c>
      <c r="R62" s="6">
        <f>(Table1[[#This Row],[b]]*(Table1[[#This Row],[d]]^2))/6</f>
        <v>187500</v>
      </c>
      <c r="S62" s="6">
        <f>Table1[[#This Row],[b]]*Table1[[#This Row],[d]]</f>
        <v>7500</v>
      </c>
      <c r="T62" s="6">
        <v>1000</v>
      </c>
    </row>
    <row r="63" spans="1:20" x14ac:dyDescent="0.25">
      <c r="A63" s="6">
        <v>500</v>
      </c>
      <c r="B63" s="6">
        <v>200</v>
      </c>
      <c r="C63" s="6">
        <v>36</v>
      </c>
      <c r="D63" s="6">
        <v>30</v>
      </c>
      <c r="E63" s="6">
        <f>(Table1[[#This Row],[Load(p)]]*Table1[[#This Row],[x]])/Table1[[#This Row],[l]]</f>
        <v>400</v>
      </c>
      <c r="F63" s="6">
        <f>(Table1[[#This Row],[Load(p)]]*(Table1[[#This Row],[l]]-Table1[[#This Row],[x]])/Table1[[#This Row],[l]])</f>
        <v>600</v>
      </c>
      <c r="G63" s="6">
        <f>(((2*Table1[[#This Row],[x]])-Table1[[#This Row],[l]])*(Table1[[#This Row],[Load(p)]]*Table1[[#This Row],[c]]))/Table1[[#This Row],[l]]</f>
        <v>-7200</v>
      </c>
      <c r="H63" s="6">
        <f>(((2*Table1[[#This Row],[x]])-Table1[[#This Row],[l]])*(Table1[[#This Row],[Load(p)]]))/Table1[[#This Row],[l]]</f>
        <v>-200</v>
      </c>
      <c r="I63" s="6">
        <f>(Table1[[#This Row],[Load(p)]]*(Table1[[#This Row],[l]]-Table1[[#This Row],[x]]))/Table1[[#This Row],[l]]</f>
        <v>600</v>
      </c>
      <c r="J63" s="6">
        <f>(Table1[[#This Row],[Load(p)]]*Table1[[#This Row],[x]])/Table1[[#This Row],[l]]</f>
        <v>400</v>
      </c>
      <c r="K63" s="6">
        <f>Table1[[#This Row],[BM]]/Table1[[#This Row],[Z]]</f>
        <v>-3.8399999999999997E-2</v>
      </c>
      <c r="L63" s="6">
        <f>Table1[[#This Row],[SF]]/Table1[[#This Row],[bd]]</f>
        <v>-2.6666666666666668E-2</v>
      </c>
      <c r="M63" s="8">
        <f t="shared" si="8"/>
        <v>-0.37279217521069419</v>
      </c>
      <c r="N63" s="8">
        <f>(Table1[[#This Row],[Shear Stress]])*SQRT(PI()*Table1[[#This Row],[a]])</f>
        <v>-0.25888345500742654</v>
      </c>
      <c r="O63" s="8">
        <f t="shared" si="9"/>
        <v>0.61357965148484583</v>
      </c>
      <c r="P63" s="6">
        <v>50</v>
      </c>
      <c r="Q63" s="6">
        <v>150</v>
      </c>
      <c r="R63" s="6">
        <f>(Table1[[#This Row],[b]]*(Table1[[#This Row],[d]]^2))/6</f>
        <v>187500</v>
      </c>
      <c r="S63" s="6">
        <f>Table1[[#This Row],[b]]*Table1[[#This Row],[d]]</f>
        <v>7500</v>
      </c>
      <c r="T63" s="6">
        <v>1000</v>
      </c>
    </row>
  </sheetData>
  <mergeCells count="1">
    <mergeCell ref="E2:N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4AEF-A40B-4A80-B033-0B970C2B71DA}">
  <dimension ref="A2:U8"/>
  <sheetViews>
    <sheetView tabSelected="1" zoomScale="115" zoomScaleNormal="115" workbookViewId="0">
      <selection activeCell="S14" sqref="S14"/>
    </sheetView>
  </sheetViews>
  <sheetFormatPr defaultRowHeight="15" x14ac:dyDescent="0.25"/>
  <cols>
    <col min="7" max="8" width="0" hidden="1" customWidth="1"/>
    <col min="10" max="10" width="9.140625" customWidth="1"/>
    <col min="11" max="11" width="4.7109375" hidden="1" customWidth="1"/>
    <col min="12" max="12" width="13.140625" hidden="1" customWidth="1"/>
  </cols>
  <sheetData>
    <row r="2" spans="1:21" x14ac:dyDescent="0.25">
      <c r="F2" s="11" t="s">
        <v>0</v>
      </c>
      <c r="G2" s="11"/>
      <c r="H2" s="11"/>
      <c r="I2" s="11"/>
      <c r="J2" s="11"/>
      <c r="K2" s="11"/>
      <c r="L2" s="11"/>
      <c r="M2" s="11"/>
    </row>
    <row r="4" spans="1:2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1" x14ac:dyDescent="0.25">
      <c r="A5" s="2">
        <v>500</v>
      </c>
      <c r="B5" s="2">
        <v>200</v>
      </c>
      <c r="C5" s="2">
        <v>7.5</v>
      </c>
      <c r="D5" s="2">
        <v>30</v>
      </c>
      <c r="E5" s="2">
        <f>(T5*B5)/A5</f>
        <v>400</v>
      </c>
      <c r="F5" s="2">
        <f>(T5*(A5-B5)/A5)</f>
        <v>600</v>
      </c>
      <c r="G5" s="2">
        <f>(((2*B5)-A5)*(T5*C5))/A5</f>
        <v>-1500</v>
      </c>
      <c r="H5" s="2">
        <f>(((2*B5)-A5)*(T5))/A5</f>
        <v>-200</v>
      </c>
      <c r="I5" s="2">
        <f>T5*((A5-B5)/A5)</f>
        <v>600</v>
      </c>
      <c r="J5" s="2">
        <f>T5*(B5/A5)</f>
        <v>400</v>
      </c>
      <c r="K5" s="2">
        <f>G5/R5</f>
        <v>-8.0000000000000002E-3</v>
      </c>
      <c r="L5" s="2">
        <f>H5/S5</f>
        <v>-2.6666666666666668E-2</v>
      </c>
      <c r="M5" s="3">
        <v>8.7169999999999997E-2</v>
      </c>
      <c r="N5" s="3">
        <v>0.18140000000000001</v>
      </c>
      <c r="O5" s="3">
        <f t="shared" ref="O5:O8" si="0">(2/PI())*(ATAN((M5/N5)))</f>
        <v>0.28517953204355112</v>
      </c>
      <c r="P5" s="2">
        <v>50</v>
      </c>
      <c r="Q5" s="2">
        <v>150</v>
      </c>
      <c r="R5" s="2">
        <f>(P5*(Q5^2))/6</f>
        <v>187500</v>
      </c>
      <c r="S5" s="2">
        <f>P5*Q5</f>
        <v>7500</v>
      </c>
      <c r="T5" s="2">
        <v>1000</v>
      </c>
    </row>
    <row r="6" spans="1:21" x14ac:dyDescent="0.25">
      <c r="A6" s="2">
        <v>500</v>
      </c>
      <c r="B6" s="2">
        <v>200</v>
      </c>
      <c r="C6" s="2">
        <v>8</v>
      </c>
      <c r="D6" s="2">
        <v>30</v>
      </c>
      <c r="E6" s="2">
        <f t="shared" ref="E6:E8" si="1">(T6*B6)/A6</f>
        <v>400</v>
      </c>
      <c r="F6" s="2">
        <f t="shared" ref="F6:F8" si="2">(T6*(A6-B6)/A6)</f>
        <v>600</v>
      </c>
      <c r="G6" s="2">
        <f t="shared" ref="G6:G8" si="3">(((2*B6)-A6)*(T6*C6))/A6</f>
        <v>-1600</v>
      </c>
      <c r="H6" s="2">
        <f t="shared" ref="H6:H8" si="4">(((2*B6)-A6)*(T6))/A6</f>
        <v>-200</v>
      </c>
      <c r="I6" s="2">
        <f t="shared" ref="I6:I8" si="5">T6*((A6-B6)/A6)</f>
        <v>600</v>
      </c>
      <c r="J6" s="2">
        <f t="shared" ref="J6:J8" si="6">T6*(B6/A6)</f>
        <v>400</v>
      </c>
      <c r="K6" s="2">
        <f t="shared" ref="K6:L8" si="7">G6/R6</f>
        <v>-8.5333333333333337E-3</v>
      </c>
      <c r="L6" s="2">
        <f t="shared" si="7"/>
        <v>-2.6666666666666668E-2</v>
      </c>
      <c r="M6" s="3">
        <v>9.3043000000000001E-2</v>
      </c>
      <c r="N6" s="3">
        <v>0.18160000000000001</v>
      </c>
      <c r="O6" s="3">
        <f t="shared" si="0"/>
        <v>0.30142658453151217</v>
      </c>
      <c r="P6" s="2">
        <v>50</v>
      </c>
      <c r="Q6" s="2">
        <v>150</v>
      </c>
      <c r="R6" s="2">
        <f t="shared" ref="R6:R8" si="8">(P6*(Q6^2))/6</f>
        <v>187500</v>
      </c>
      <c r="S6" s="2">
        <f t="shared" ref="S6:S8" si="9">P6*Q6</f>
        <v>7500</v>
      </c>
      <c r="T6" s="2">
        <v>1000</v>
      </c>
    </row>
    <row r="7" spans="1:21" x14ac:dyDescent="0.25">
      <c r="A7" s="2">
        <v>500</v>
      </c>
      <c r="B7" s="2">
        <v>200</v>
      </c>
      <c r="C7" s="2">
        <v>7.75</v>
      </c>
      <c r="D7" s="2">
        <v>30</v>
      </c>
      <c r="E7" s="2">
        <f t="shared" si="1"/>
        <v>400</v>
      </c>
      <c r="F7" s="2">
        <f t="shared" si="2"/>
        <v>600</v>
      </c>
      <c r="G7" s="2">
        <f t="shared" si="3"/>
        <v>-1550</v>
      </c>
      <c r="H7" s="2">
        <f t="shared" si="4"/>
        <v>-200</v>
      </c>
      <c r="I7" s="2">
        <f t="shared" si="5"/>
        <v>600</v>
      </c>
      <c r="J7" s="2">
        <f t="shared" si="6"/>
        <v>400</v>
      </c>
      <c r="K7" s="2">
        <f t="shared" si="7"/>
        <v>-8.266666666666667E-3</v>
      </c>
      <c r="L7" s="2">
        <f t="shared" si="7"/>
        <v>-2.6666666666666668E-2</v>
      </c>
      <c r="M7" s="3">
        <v>9.0318999999999997E-2</v>
      </c>
      <c r="N7" s="3">
        <v>0.18129999999999999</v>
      </c>
      <c r="O7" s="3">
        <f t="shared" si="0"/>
        <v>0.29423673340275691</v>
      </c>
      <c r="P7" s="2">
        <v>50</v>
      </c>
      <c r="Q7" s="2">
        <v>150</v>
      </c>
      <c r="R7" s="2">
        <f t="shared" si="8"/>
        <v>187500</v>
      </c>
      <c r="S7" s="2">
        <f t="shared" si="9"/>
        <v>7500</v>
      </c>
      <c r="T7" s="2">
        <v>1000</v>
      </c>
    </row>
    <row r="8" spans="1:21" x14ac:dyDescent="0.25">
      <c r="A8" s="9">
        <v>500</v>
      </c>
      <c r="B8" s="9">
        <v>200</v>
      </c>
      <c r="C8" s="9">
        <v>7.95</v>
      </c>
      <c r="D8" s="9">
        <v>30</v>
      </c>
      <c r="E8" s="9">
        <f t="shared" si="1"/>
        <v>400</v>
      </c>
      <c r="F8" s="9">
        <f t="shared" si="2"/>
        <v>600</v>
      </c>
      <c r="G8" s="9">
        <f t="shared" si="3"/>
        <v>-1590</v>
      </c>
      <c r="H8" s="9">
        <f t="shared" si="4"/>
        <v>-200</v>
      </c>
      <c r="I8" s="9">
        <f t="shared" si="5"/>
        <v>600</v>
      </c>
      <c r="J8" s="9">
        <f t="shared" si="6"/>
        <v>400</v>
      </c>
      <c r="K8" s="9">
        <f t="shared" si="7"/>
        <v>-8.4799999999999997E-3</v>
      </c>
      <c r="L8" s="9">
        <f t="shared" si="7"/>
        <v>-2.6666666666666668E-2</v>
      </c>
      <c r="M8" s="9">
        <v>9.2492000000000005E-2</v>
      </c>
      <c r="N8" s="9">
        <v>0.18149999999999999</v>
      </c>
      <c r="O8" s="9">
        <f t="shared" si="0"/>
        <v>0.30003656348642593</v>
      </c>
      <c r="P8" s="9">
        <v>50</v>
      </c>
      <c r="Q8" s="9">
        <v>150</v>
      </c>
      <c r="R8" s="9">
        <f t="shared" si="8"/>
        <v>187500</v>
      </c>
      <c r="S8" s="9">
        <f t="shared" si="9"/>
        <v>7500</v>
      </c>
      <c r="T8" s="9">
        <v>1000</v>
      </c>
      <c r="U8" t="s">
        <v>23</v>
      </c>
    </row>
  </sheetData>
  <mergeCells count="1">
    <mergeCell ref="F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A045-E537-45E0-AB30-07B570B2DE44}">
  <dimension ref="A2:U10"/>
  <sheetViews>
    <sheetView zoomScale="115" zoomScaleNormal="115" workbookViewId="0">
      <selection activeCell="U10" sqref="U10"/>
    </sheetView>
  </sheetViews>
  <sheetFormatPr defaultRowHeight="15" x14ac:dyDescent="0.25"/>
  <cols>
    <col min="7" max="8" width="0" hidden="1" customWidth="1"/>
    <col min="11" max="12" width="0" hidden="1" customWidth="1"/>
  </cols>
  <sheetData>
    <row r="2" spans="1:21" x14ac:dyDescent="0.25">
      <c r="F2" s="11" t="s">
        <v>21</v>
      </c>
      <c r="G2" s="11"/>
      <c r="H2" s="11"/>
      <c r="I2" s="11"/>
      <c r="J2" s="11"/>
      <c r="K2" s="11"/>
      <c r="L2" s="11"/>
      <c r="M2" s="11"/>
    </row>
    <row r="4" spans="1:2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1" x14ac:dyDescent="0.25">
      <c r="A5" s="2">
        <v>500</v>
      </c>
      <c r="B5" s="2">
        <v>200</v>
      </c>
      <c r="C5" s="2">
        <v>20</v>
      </c>
      <c r="D5" s="2">
        <v>30</v>
      </c>
      <c r="E5" s="2">
        <f>(T5*B5)/A5</f>
        <v>400</v>
      </c>
      <c r="F5" s="2">
        <f>(T5*(A5-B5)/A5)</f>
        <v>600</v>
      </c>
      <c r="G5" s="2">
        <f>(((2*B5)-A5)*(T5*C5))/A5</f>
        <v>-4000</v>
      </c>
      <c r="H5" s="2">
        <f>(((2*B5)-A5)*(T5))/A5</f>
        <v>-200</v>
      </c>
      <c r="I5" s="2">
        <f>T5*((A5-B5)/A5)</f>
        <v>600</v>
      </c>
      <c r="J5" s="2">
        <f>T5*(B5/A5)</f>
        <v>400</v>
      </c>
      <c r="K5" s="2">
        <f>G5/R5</f>
        <v>-2.1333333333333333E-2</v>
      </c>
      <c r="L5" s="2">
        <f>H5/S5</f>
        <v>-2.6666666666666668E-2</v>
      </c>
      <c r="M5" s="3">
        <v>0.22550000000000001</v>
      </c>
      <c r="N5" s="3">
        <v>0.1837</v>
      </c>
      <c r="O5" s="3">
        <f t="shared" ref="O5:O8" si="0">(2/PI())*(ATAN((M5/N5)))</f>
        <v>0.56480626383545929</v>
      </c>
      <c r="P5" s="2">
        <v>50</v>
      </c>
      <c r="Q5" s="2">
        <v>150</v>
      </c>
      <c r="R5" s="2">
        <f>(P5*(Q5^2))/6</f>
        <v>187500</v>
      </c>
      <c r="S5" s="2">
        <f>P5*Q5</f>
        <v>7500</v>
      </c>
      <c r="T5" s="2">
        <v>1000</v>
      </c>
    </row>
    <row r="6" spans="1:21" x14ac:dyDescent="0.25">
      <c r="A6" s="2">
        <v>500</v>
      </c>
      <c r="B6" s="2">
        <v>200</v>
      </c>
      <c r="C6" s="2">
        <v>22</v>
      </c>
      <c r="D6" s="2">
        <v>30</v>
      </c>
      <c r="E6" s="2">
        <f t="shared" ref="E6:E10" si="1">(T6*B6)/A6</f>
        <v>400</v>
      </c>
      <c r="F6" s="2">
        <f t="shared" ref="F6:F10" si="2">(T6*(A6-B6)/A6)</f>
        <v>600</v>
      </c>
      <c r="G6" s="2">
        <f t="shared" ref="G6:G10" si="3">(((2*B6)-A6)*(T6*C6))/A6</f>
        <v>-4400</v>
      </c>
      <c r="H6" s="2">
        <f t="shared" ref="H6:H10" si="4">(((2*B6)-A6)*(T6))/A6</f>
        <v>-200</v>
      </c>
      <c r="I6" s="2">
        <f t="shared" ref="I6:I10" si="5">T6*((A6-B6)/A6)</f>
        <v>600</v>
      </c>
      <c r="J6" s="2">
        <f t="shared" ref="J6:J10" si="6">T6*(B6/A6)</f>
        <v>400</v>
      </c>
      <c r="K6" s="2">
        <f t="shared" ref="K6:L10" si="7">G6/R6</f>
        <v>-2.3466666666666667E-2</v>
      </c>
      <c r="L6" s="2">
        <f t="shared" si="7"/>
        <v>-2.6666666666666668E-2</v>
      </c>
      <c r="M6" s="3">
        <v>0.24790000000000001</v>
      </c>
      <c r="N6" s="3">
        <v>0.184</v>
      </c>
      <c r="O6" s="3">
        <f t="shared" si="0"/>
        <v>0.59351011946697474</v>
      </c>
      <c r="P6" s="2">
        <v>50</v>
      </c>
      <c r="Q6" s="2">
        <v>150</v>
      </c>
      <c r="R6" s="2">
        <f t="shared" ref="R6:R10" si="8">(P6*(Q6^2))/6</f>
        <v>187500</v>
      </c>
      <c r="S6" s="2">
        <f t="shared" ref="S6:S10" si="9">P6*Q6</f>
        <v>7500</v>
      </c>
      <c r="T6" s="2">
        <v>1000</v>
      </c>
    </row>
    <row r="7" spans="1:21" x14ac:dyDescent="0.25">
      <c r="A7" s="2">
        <v>500</v>
      </c>
      <c r="B7" s="2">
        <v>200</v>
      </c>
      <c r="C7" s="2">
        <v>22.5</v>
      </c>
      <c r="D7" s="2">
        <v>30</v>
      </c>
      <c r="E7" s="2">
        <f t="shared" si="1"/>
        <v>400</v>
      </c>
      <c r="F7" s="2">
        <f t="shared" si="2"/>
        <v>600</v>
      </c>
      <c r="G7" s="2">
        <f t="shared" si="3"/>
        <v>-4500</v>
      </c>
      <c r="H7" s="2">
        <f t="shared" si="4"/>
        <v>-200</v>
      </c>
      <c r="I7" s="2">
        <f t="shared" si="5"/>
        <v>600</v>
      </c>
      <c r="J7" s="2">
        <f t="shared" si="6"/>
        <v>400</v>
      </c>
      <c r="K7" s="2">
        <f t="shared" si="7"/>
        <v>-2.4E-2</v>
      </c>
      <c r="L7" s="2">
        <f t="shared" si="7"/>
        <v>-2.6666666666666668E-2</v>
      </c>
      <c r="M7" s="3">
        <v>0.2535</v>
      </c>
      <c r="N7" s="3">
        <v>0.1845</v>
      </c>
      <c r="O7" s="3">
        <f t="shared" si="0"/>
        <v>0.59947192593504628</v>
      </c>
      <c r="P7" s="2">
        <v>50</v>
      </c>
      <c r="Q7" s="2">
        <v>150</v>
      </c>
      <c r="R7" s="2">
        <f t="shared" si="8"/>
        <v>187500</v>
      </c>
      <c r="S7" s="2">
        <f t="shared" si="9"/>
        <v>7500</v>
      </c>
      <c r="T7" s="2">
        <v>1000</v>
      </c>
    </row>
    <row r="8" spans="1:21" x14ac:dyDescent="0.25">
      <c r="A8" s="2">
        <v>500</v>
      </c>
      <c r="B8" s="2">
        <v>200</v>
      </c>
      <c r="C8" s="2">
        <v>22.75</v>
      </c>
      <c r="D8" s="2">
        <v>30</v>
      </c>
      <c r="E8" s="2">
        <f t="shared" si="1"/>
        <v>400</v>
      </c>
      <c r="F8" s="2">
        <f t="shared" si="2"/>
        <v>600</v>
      </c>
      <c r="G8" s="2">
        <f t="shared" si="3"/>
        <v>-4550</v>
      </c>
      <c r="H8" s="2">
        <f t="shared" si="4"/>
        <v>-200</v>
      </c>
      <c r="I8" s="2">
        <f t="shared" si="5"/>
        <v>600</v>
      </c>
      <c r="J8" s="2">
        <f t="shared" si="6"/>
        <v>400</v>
      </c>
      <c r="K8" s="2">
        <f t="shared" si="7"/>
        <v>-2.4266666666666666E-2</v>
      </c>
      <c r="L8" s="2">
        <f t="shared" si="7"/>
        <v>-2.6666666666666668E-2</v>
      </c>
      <c r="M8" s="3">
        <v>0.25480000000000003</v>
      </c>
      <c r="N8" s="3">
        <v>0.183</v>
      </c>
      <c r="O8" s="3">
        <f t="shared" si="0"/>
        <v>0.6034855651634945</v>
      </c>
      <c r="P8" s="2">
        <v>50</v>
      </c>
      <c r="Q8" s="2">
        <v>150</v>
      </c>
      <c r="R8" s="2">
        <f t="shared" si="8"/>
        <v>187500</v>
      </c>
      <c r="S8" s="2">
        <f t="shared" si="9"/>
        <v>7500</v>
      </c>
      <c r="T8" s="2">
        <v>1000</v>
      </c>
    </row>
    <row r="9" spans="1:21" x14ac:dyDescent="0.25">
      <c r="A9" s="2">
        <v>500</v>
      </c>
      <c r="B9" s="2">
        <v>200</v>
      </c>
      <c r="C9" s="2">
        <v>22.6</v>
      </c>
      <c r="D9" s="2">
        <v>30</v>
      </c>
      <c r="E9" s="2">
        <f t="shared" si="1"/>
        <v>400</v>
      </c>
      <c r="F9" s="2">
        <f t="shared" si="2"/>
        <v>600</v>
      </c>
      <c r="G9" s="2">
        <f t="shared" si="3"/>
        <v>-4520</v>
      </c>
      <c r="H9" s="2">
        <f t="shared" si="4"/>
        <v>-200</v>
      </c>
      <c r="I9" s="2">
        <f t="shared" si="5"/>
        <v>600</v>
      </c>
      <c r="J9" s="2">
        <f t="shared" si="6"/>
        <v>400</v>
      </c>
      <c r="K9" s="2">
        <f t="shared" si="7"/>
        <v>-2.4106666666666665E-2</v>
      </c>
      <c r="L9" s="2">
        <f t="shared" si="7"/>
        <v>-2.6666666666666668E-2</v>
      </c>
      <c r="M9" s="3">
        <v>0.25309999999999999</v>
      </c>
      <c r="N9" s="3">
        <v>0.183</v>
      </c>
      <c r="O9" s="3">
        <f>(2/PI())*(ATAN((M9/N9)))</f>
        <v>0.60146419335747625</v>
      </c>
      <c r="P9" s="2">
        <v>50</v>
      </c>
      <c r="Q9" s="2">
        <v>150</v>
      </c>
      <c r="R9" s="2">
        <f t="shared" si="8"/>
        <v>187500</v>
      </c>
      <c r="S9" s="2">
        <f t="shared" si="9"/>
        <v>7500</v>
      </c>
      <c r="T9" s="2">
        <v>1000</v>
      </c>
    </row>
    <row r="10" spans="1:21" x14ac:dyDescent="0.25">
      <c r="A10" s="9">
        <v>500</v>
      </c>
      <c r="B10" s="9">
        <v>200</v>
      </c>
      <c r="C10" s="10">
        <v>22.55</v>
      </c>
      <c r="D10" s="9">
        <v>30</v>
      </c>
      <c r="E10" s="9">
        <f t="shared" si="1"/>
        <v>400</v>
      </c>
      <c r="F10" s="9">
        <f t="shared" si="2"/>
        <v>600</v>
      </c>
      <c r="G10" s="9">
        <f t="shared" si="3"/>
        <v>-4510</v>
      </c>
      <c r="H10" s="9">
        <f t="shared" si="4"/>
        <v>-200</v>
      </c>
      <c r="I10" s="9">
        <f t="shared" si="5"/>
        <v>600</v>
      </c>
      <c r="J10" s="9">
        <f t="shared" si="6"/>
        <v>400</v>
      </c>
      <c r="K10" s="9">
        <f t="shared" si="7"/>
        <v>-2.4053333333333333E-2</v>
      </c>
      <c r="L10" s="9">
        <f t="shared" si="7"/>
        <v>-2.6666666666666668E-2</v>
      </c>
      <c r="M10" s="9">
        <v>0.254</v>
      </c>
      <c r="N10" s="9">
        <v>0.1845</v>
      </c>
      <c r="O10" s="9">
        <f>(2/PI())*(ATAN((M10/N10)))</f>
        <v>0.60006857943800018</v>
      </c>
      <c r="P10" s="9">
        <v>50</v>
      </c>
      <c r="Q10" s="9">
        <v>150</v>
      </c>
      <c r="R10" s="9">
        <f t="shared" si="8"/>
        <v>187500</v>
      </c>
      <c r="S10" s="9">
        <f t="shared" si="9"/>
        <v>7500</v>
      </c>
      <c r="T10" s="9">
        <v>1000</v>
      </c>
      <c r="U10" t="s">
        <v>23</v>
      </c>
    </row>
  </sheetData>
  <mergeCells count="1">
    <mergeCell ref="F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6f656f-868b-466e-be8d-86f11f258c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2E0BFDA19CD04BBBC0BCA164A788D2" ma:contentTypeVersion="12" ma:contentTypeDescription="Create a new document." ma:contentTypeScope="" ma:versionID="7fbbd0cf0f9d76d8c506aa59d1764726">
  <xsd:schema xmlns:xsd="http://www.w3.org/2001/XMLSchema" xmlns:xs="http://www.w3.org/2001/XMLSchema" xmlns:p="http://schemas.microsoft.com/office/2006/metadata/properties" xmlns:ns3="b86f656f-868b-466e-be8d-86f11f258c7c" targetNamespace="http://schemas.microsoft.com/office/2006/metadata/properties" ma:root="true" ma:fieldsID="2ca97ea48aa22325c8a21e6571da8d44" ns3:_="">
    <xsd:import namespace="b86f656f-868b-466e-be8d-86f11f258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f656f-868b-466e-be8d-86f11f258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D0E55F-6DB0-4F4D-9CE0-96C5DDBBF9D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86f656f-868b-466e-be8d-86f11f258c7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4BEA48-F8C7-4037-BF81-F409E8D3C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D7C75-AC65-4434-8013-A1B0B85D7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f656f-868b-466e-be8d-86f11f258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CALCULATION</vt:lpstr>
      <vt:lpstr>0.3</vt:lpstr>
      <vt:lpstr>0.6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VARSHNI M</dc:creator>
  <cp:lastModifiedBy>HEMA VARSHNI M</cp:lastModifiedBy>
  <dcterms:created xsi:type="dcterms:W3CDTF">2026-06-14T18:06:09Z</dcterms:created>
  <dcterms:modified xsi:type="dcterms:W3CDTF">2026-06-15T18:05:06Z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0x010100682E0BFDA19CD04BBBC0BCA164A788D2</vt:lpwstr>
  </property>
</Properties>
</file>